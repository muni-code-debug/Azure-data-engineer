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ustomers" sheetId="2" state="visible" r:id="rId4"/>
    <sheet name="Products" sheetId="3" state="visible" r:id="rId5"/>
    <sheet name="Ord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<sst xmlns="http://schemas.openxmlformats.org/spreadsheetml/2006/main" count="1371" uniqueCount="429">
  <si>
    <t xml:space="preserve">Azure Data Engineering Practice Workbook</t>
  </si>
  <si>
    <t xml:space="preserve">Sheet</t>
  </si>
  <si>
    <t xml:space="preserve">Rows</t>
  </si>
  <si>
    <t xml:space="preserve">Purpose</t>
  </si>
  <si>
    <t xml:space="preserve">Customers</t>
  </si>
  <si>
    <t xml:space="preserve">50</t>
  </si>
  <si>
    <t xml:space="preserve">Dimension table (SCD / joins / masking PII practice)</t>
  </si>
  <si>
    <t xml:space="preserve">Products</t>
  </si>
  <si>
    <t xml:space="preserve">10</t>
  </si>
  <si>
    <t xml:space="preserve">Dimension table (lookup / broadcast join)</t>
  </si>
  <si>
    <t xml:space="preserve">Orders</t>
  </si>
  <si>
    <t xml:space="preserve">200</t>
  </si>
  <si>
    <t xml:space="preserve">Fact table (aggregations, partitioning by date, window functions)</t>
  </si>
  <si>
    <t xml:space="preserve">Suggested exercises</t>
  </si>
  <si>
    <t xml:space="preserve">1. Upload to ADLS Gen2 (raw/ container) and ingest with ADF Copy Activity.</t>
  </si>
  <si>
    <t xml:space="preserve">2. Convert each sheet to CSV/Parquet; build Bronze -&gt; Silver -&gt; Gold in Databricks.</t>
  </si>
  <si>
    <t xml:space="preserve">3. Join Orders + Customers + Products; compute revenue by State, Category, Month.</t>
  </si>
  <si>
    <t xml:space="preserve">4. Clean: drop Cancelled orders, mask Email, handle nulls, dedupe.</t>
  </si>
  <si>
    <t xml:space="preserve">5. Load Gold tables into Synapse / Azure SQL and connect Power BI.</t>
  </si>
  <si>
    <t xml:space="preserve">Note: Orders.UnitPrice_INR and TotalAmount_INR are Excel formulas. Synthetic data, seed=42.</t>
  </si>
  <si>
    <t xml:space="preserve">CustomerID</t>
  </si>
  <si>
    <t xml:space="preserve">CustomerName</t>
  </si>
  <si>
    <t xml:space="preserve">Email</t>
  </si>
  <si>
    <t xml:space="preserve">City</t>
  </si>
  <si>
    <t xml:space="preserve">State</t>
  </si>
  <si>
    <t xml:space="preserve">Segment</t>
  </si>
  <si>
    <t xml:space="preserve">SignupDate</t>
  </si>
  <si>
    <t xml:space="preserve">C0001</t>
  </si>
  <si>
    <t xml:space="preserve">Aarav Iyer</t>
  </si>
  <si>
    <t xml:space="preserve">aarav.iyer1@example.com</t>
  </si>
  <si>
    <t xml:space="preserve">Delhi</t>
  </si>
  <si>
    <t xml:space="preserve">Retail</t>
  </si>
  <si>
    <t xml:space="preserve">C0002</t>
  </si>
  <si>
    <t xml:space="preserve">Neha Patel</t>
  </si>
  <si>
    <t xml:space="preserve">neha.patel2@example.com</t>
  </si>
  <si>
    <t xml:space="preserve">Bengaluru</t>
  </si>
  <si>
    <t xml:space="preserve">Karnataka</t>
  </si>
  <si>
    <t xml:space="preserve">SMB</t>
  </si>
  <si>
    <t xml:space="preserve">C0003</t>
  </si>
  <si>
    <t xml:space="preserve">Divya Nair</t>
  </si>
  <si>
    <t xml:space="preserve">divya.nair3@example.com</t>
  </si>
  <si>
    <t xml:space="preserve">C0004</t>
  </si>
  <si>
    <t xml:space="preserve">Ananya Reddy</t>
  </si>
  <si>
    <t xml:space="preserve">ananya.reddy4@example.com</t>
  </si>
  <si>
    <t xml:space="preserve">C0005</t>
  </si>
  <si>
    <t xml:space="preserve">Arjun Reddy</t>
  </si>
  <si>
    <t xml:space="preserve">arjun.reddy5@example.com</t>
  </si>
  <si>
    <t xml:space="preserve">Mumbai</t>
  </si>
  <si>
    <t xml:space="preserve">Maharashtra</t>
  </si>
  <si>
    <t xml:space="preserve">C0006</t>
  </si>
  <si>
    <t xml:space="preserve">Ananya Das</t>
  </si>
  <si>
    <t xml:space="preserve">ananya.das6@example.com</t>
  </si>
  <si>
    <t xml:space="preserve">Kolkata</t>
  </si>
  <si>
    <t xml:space="preserve">West Bengal</t>
  </si>
  <si>
    <t xml:space="preserve">C0007</t>
  </si>
  <si>
    <t xml:space="preserve">Sanjay Singh</t>
  </si>
  <si>
    <t xml:space="preserve">sanjay.singh7@example.com</t>
  </si>
  <si>
    <t xml:space="preserve">C0008</t>
  </si>
  <si>
    <t xml:space="preserve">Vikram Singh</t>
  </si>
  <si>
    <t xml:space="preserve">vikram.singh8@example.com</t>
  </si>
  <si>
    <t xml:space="preserve">Pune</t>
  </si>
  <si>
    <t xml:space="preserve">C0009</t>
  </si>
  <si>
    <t xml:space="preserve">Priya Patel</t>
  </si>
  <si>
    <t xml:space="preserve">priya.patel9@example.com</t>
  </si>
  <si>
    <t xml:space="preserve">Corporate</t>
  </si>
  <si>
    <t xml:space="preserve">C0010</t>
  </si>
  <si>
    <t xml:space="preserve">Pooja Gupta</t>
  </si>
  <si>
    <t xml:space="preserve">pooja.gupta10@example.com</t>
  </si>
  <si>
    <t xml:space="preserve">C0011</t>
  </si>
  <si>
    <t xml:space="preserve">Neha Das</t>
  </si>
  <si>
    <t xml:space="preserve">neha.das11@example.com</t>
  </si>
  <si>
    <t xml:space="preserve">C0012</t>
  </si>
  <si>
    <t xml:space="preserve">Priya Mehta</t>
  </si>
  <si>
    <t xml:space="preserve">priya.mehta12@example.com</t>
  </si>
  <si>
    <t xml:space="preserve">C0013</t>
  </si>
  <si>
    <t xml:space="preserve">Divya Reddy</t>
  </si>
  <si>
    <t xml:space="preserve">divya.reddy13@example.com</t>
  </si>
  <si>
    <t xml:space="preserve">C0014</t>
  </si>
  <si>
    <t xml:space="preserve">Rahul Reddy</t>
  </si>
  <si>
    <t xml:space="preserve">rahul.reddy14@example.com</t>
  </si>
  <si>
    <t xml:space="preserve">C0015</t>
  </si>
  <si>
    <t xml:space="preserve">Pooja Patel</t>
  </si>
  <si>
    <t xml:space="preserve">pooja.patel15@example.com</t>
  </si>
  <si>
    <t xml:space="preserve">Hyderabad</t>
  </si>
  <si>
    <t xml:space="preserve">Telangana</t>
  </si>
  <si>
    <t xml:space="preserve">C0016</t>
  </si>
  <si>
    <t xml:space="preserve">Rahul Gupta</t>
  </si>
  <si>
    <t xml:space="preserve">rahul.gupta16@example.com</t>
  </si>
  <si>
    <t xml:space="preserve">Ahmedabad</t>
  </si>
  <si>
    <t xml:space="preserve">Gujarat</t>
  </si>
  <si>
    <t xml:space="preserve">C0017</t>
  </si>
  <si>
    <t xml:space="preserve">Ananya Iyer</t>
  </si>
  <si>
    <t xml:space="preserve">ananya.iyer17@example.com</t>
  </si>
  <si>
    <t xml:space="preserve">C0018</t>
  </si>
  <si>
    <t xml:space="preserve">Divya Singh</t>
  </si>
  <si>
    <t xml:space="preserve">divya.singh18@example.com</t>
  </si>
  <si>
    <t xml:space="preserve">C0019</t>
  </si>
  <si>
    <t xml:space="preserve">Rohan Das</t>
  </si>
  <si>
    <t xml:space="preserve">rohan.das19@example.com</t>
  </si>
  <si>
    <t xml:space="preserve">C0020</t>
  </si>
  <si>
    <t xml:space="preserve">rahul.gupta20@example.com</t>
  </si>
  <si>
    <t xml:space="preserve">C0021</t>
  </si>
  <si>
    <t xml:space="preserve">Sanjay Gupta</t>
  </si>
  <si>
    <t xml:space="preserve">sanjay.gupta21@example.com</t>
  </si>
  <si>
    <t xml:space="preserve">C0022</t>
  </si>
  <si>
    <t xml:space="preserve">Ananya Khan</t>
  </si>
  <si>
    <t xml:space="preserve">ananya.khan22@example.com</t>
  </si>
  <si>
    <t xml:space="preserve">C0023</t>
  </si>
  <si>
    <t xml:space="preserve">Rahul Das</t>
  </si>
  <si>
    <t xml:space="preserve">rahul.das23@example.com</t>
  </si>
  <si>
    <t xml:space="preserve">C0024</t>
  </si>
  <si>
    <t xml:space="preserve">Rohan Iyer</t>
  </si>
  <si>
    <t xml:space="preserve">rohan.iyer24@example.com</t>
  </si>
  <si>
    <t xml:space="preserve">C0025</t>
  </si>
  <si>
    <t xml:space="preserve">Neha Khan</t>
  </si>
  <si>
    <t xml:space="preserve">neha.khan25@example.com</t>
  </si>
  <si>
    <t xml:space="preserve">Chennai</t>
  </si>
  <si>
    <t xml:space="preserve">Tamil Nadu</t>
  </si>
  <si>
    <t xml:space="preserve">C0026</t>
  </si>
  <si>
    <t xml:space="preserve">Sneha Reddy</t>
  </si>
  <si>
    <t xml:space="preserve">sneha.reddy26@example.com</t>
  </si>
  <si>
    <t xml:space="preserve">C0027</t>
  </si>
  <si>
    <t xml:space="preserve">Priya Sharma</t>
  </si>
  <si>
    <t xml:space="preserve">priya.sharma27@example.com</t>
  </si>
  <si>
    <t xml:space="preserve">C0028</t>
  </si>
  <si>
    <t xml:space="preserve">Sanjay Nair</t>
  </si>
  <si>
    <t xml:space="preserve">sanjay.nair28@example.com</t>
  </si>
  <si>
    <t xml:space="preserve">C0029</t>
  </si>
  <si>
    <t xml:space="preserve">Karan Khan</t>
  </si>
  <si>
    <t xml:space="preserve">karan.khan29@example.com</t>
  </si>
  <si>
    <t xml:space="preserve">C0030</t>
  </si>
  <si>
    <t xml:space="preserve">Arjun Sharma</t>
  </si>
  <si>
    <t xml:space="preserve">arjun.sharma30@example.com</t>
  </si>
  <si>
    <t xml:space="preserve">C0031</t>
  </si>
  <si>
    <t xml:space="preserve">Rahul Mehta</t>
  </si>
  <si>
    <t xml:space="preserve">rahul.mehta31@example.com</t>
  </si>
  <si>
    <t xml:space="preserve">C0032</t>
  </si>
  <si>
    <t xml:space="preserve">Priya Iyer</t>
  </si>
  <si>
    <t xml:space="preserve">priya.iyer32@example.com</t>
  </si>
  <si>
    <t xml:space="preserve">C0033</t>
  </si>
  <si>
    <t xml:space="preserve">aarav.iyer33@example.com</t>
  </si>
  <si>
    <t xml:space="preserve">C0034</t>
  </si>
  <si>
    <t xml:space="preserve">Arjun Patel</t>
  </si>
  <si>
    <t xml:space="preserve">arjun.patel34@example.com</t>
  </si>
  <si>
    <t xml:space="preserve">C0035</t>
  </si>
  <si>
    <t xml:space="preserve">Rohan Gupta</t>
  </si>
  <si>
    <t xml:space="preserve">rohan.gupta35@example.com</t>
  </si>
  <si>
    <t xml:space="preserve">C0036</t>
  </si>
  <si>
    <t xml:space="preserve">Divya Gupta</t>
  </si>
  <si>
    <t xml:space="preserve">divya.gupta36@example.com</t>
  </si>
  <si>
    <t xml:space="preserve">C0037</t>
  </si>
  <si>
    <t xml:space="preserve">Amit Gupta</t>
  </si>
  <si>
    <t xml:space="preserve">amit.gupta37@example.com</t>
  </si>
  <si>
    <t xml:space="preserve">C0038</t>
  </si>
  <si>
    <t xml:space="preserve">ananya.khan38@example.com</t>
  </si>
  <si>
    <t xml:space="preserve">C0039</t>
  </si>
  <si>
    <t xml:space="preserve">pooja.patel39@example.com</t>
  </si>
  <si>
    <t xml:space="preserve">C0040</t>
  </si>
  <si>
    <t xml:space="preserve">rohan.das40@example.com</t>
  </si>
  <si>
    <t xml:space="preserve">C0041</t>
  </si>
  <si>
    <t xml:space="preserve">Arjun Khan</t>
  </si>
  <si>
    <t xml:space="preserve">arjun.khan41@example.com</t>
  </si>
  <si>
    <t xml:space="preserve">C0042</t>
  </si>
  <si>
    <t xml:space="preserve">Neha Iyer</t>
  </si>
  <si>
    <t xml:space="preserve">neha.iyer42@example.com</t>
  </si>
  <si>
    <t xml:space="preserve">C0043</t>
  </si>
  <si>
    <t xml:space="preserve">Meera Mehta</t>
  </si>
  <si>
    <t xml:space="preserve">meera.mehta43@example.com</t>
  </si>
  <si>
    <t xml:space="preserve">C0044</t>
  </si>
  <si>
    <t xml:space="preserve">Ananya Patel</t>
  </si>
  <si>
    <t xml:space="preserve">ananya.patel44@example.com</t>
  </si>
  <si>
    <t xml:space="preserve">C0045</t>
  </si>
  <si>
    <t xml:space="preserve">divya.reddy45@example.com</t>
  </si>
  <si>
    <t xml:space="preserve">C0046</t>
  </si>
  <si>
    <t xml:space="preserve">ananya.patel46@example.com</t>
  </si>
  <si>
    <t xml:space="preserve">C0047</t>
  </si>
  <si>
    <t xml:space="preserve">priya.mehta47@example.com</t>
  </si>
  <si>
    <t xml:space="preserve">C0048</t>
  </si>
  <si>
    <t xml:space="preserve">Ananya Mehta</t>
  </si>
  <si>
    <t xml:space="preserve">ananya.mehta48@example.com</t>
  </si>
  <si>
    <t xml:space="preserve">C0049</t>
  </si>
  <si>
    <t xml:space="preserve">ananya.das49@example.com</t>
  </si>
  <si>
    <t xml:space="preserve">C0050</t>
  </si>
  <si>
    <t xml:space="preserve">Priya Nair</t>
  </si>
  <si>
    <t xml:space="preserve">priya.nair50@example.com</t>
  </si>
  <si>
    <t xml:space="preserve">ProductID</t>
  </si>
  <si>
    <t xml:space="preserve">ProductName</t>
  </si>
  <si>
    <t xml:space="preserve">Category</t>
  </si>
  <si>
    <t xml:space="preserve">UnitPrice_INR</t>
  </si>
  <si>
    <t xml:space="preserve">P001</t>
  </si>
  <si>
    <t xml:space="preserve">Laptop</t>
  </si>
  <si>
    <t xml:space="preserve">Electronics</t>
  </si>
  <si>
    <t xml:space="preserve">P002</t>
  </si>
  <si>
    <t xml:space="preserve">Smartphone</t>
  </si>
  <si>
    <t xml:space="preserve">P003</t>
  </si>
  <si>
    <t xml:space="preserve">Headphones</t>
  </si>
  <si>
    <t xml:space="preserve">Accessories</t>
  </si>
  <si>
    <t xml:space="preserve">P004</t>
  </si>
  <si>
    <t xml:space="preserve">Monitor</t>
  </si>
  <si>
    <t xml:space="preserve">P005</t>
  </si>
  <si>
    <t xml:space="preserve">Keyboard</t>
  </si>
  <si>
    <t xml:space="preserve">P006</t>
  </si>
  <si>
    <t xml:space="preserve">Mouse</t>
  </si>
  <si>
    <t xml:space="preserve">P007</t>
  </si>
  <si>
    <t xml:space="preserve">Tablet</t>
  </si>
  <si>
    <t xml:space="preserve">P008</t>
  </si>
  <si>
    <t xml:space="preserve">Webcam</t>
  </si>
  <si>
    <t xml:space="preserve">P009</t>
  </si>
  <si>
    <t xml:space="preserve">Printer</t>
  </si>
  <si>
    <t xml:space="preserve">Office</t>
  </si>
  <si>
    <t xml:space="preserve">P010</t>
  </si>
  <si>
    <t xml:space="preserve">Router</t>
  </si>
  <si>
    <t xml:space="preserve">Networking</t>
  </si>
  <si>
    <t xml:space="preserve">OrderID</t>
  </si>
  <si>
    <t xml:space="preserve">OrderDate</t>
  </si>
  <si>
    <t xml:space="preserve">Quantity</t>
  </si>
  <si>
    <t xml:space="preserve">DiscountPct</t>
  </si>
  <si>
    <t xml:space="preserve">TotalAmount_INR</t>
  </si>
  <si>
    <t xml:space="preserve">PaymentMethod</t>
  </si>
  <si>
    <t xml:space="preserve">Status</t>
  </si>
  <si>
    <t xml:space="preserve">O00001</t>
  </si>
  <si>
    <t xml:space="preserve">Net Banking</t>
  </si>
  <si>
    <t xml:space="preserve">Shipped</t>
  </si>
  <si>
    <t xml:space="preserve">O00002</t>
  </si>
  <si>
    <t xml:space="preserve">Delivered</t>
  </si>
  <si>
    <t xml:space="preserve">O00003</t>
  </si>
  <si>
    <t xml:space="preserve">O00004</t>
  </si>
  <si>
    <t xml:space="preserve">UPI</t>
  </si>
  <si>
    <t xml:space="preserve">Cancelled</t>
  </si>
  <si>
    <t xml:space="preserve">O00005</t>
  </si>
  <si>
    <t xml:space="preserve">Credit Card</t>
  </si>
  <si>
    <t xml:space="preserve">O00006</t>
  </si>
  <si>
    <t xml:space="preserve">Debit Card</t>
  </si>
  <si>
    <t xml:space="preserve">O00007</t>
  </si>
  <si>
    <t xml:space="preserve">O00008</t>
  </si>
  <si>
    <t xml:space="preserve">O00009</t>
  </si>
  <si>
    <t xml:space="preserve">Returned</t>
  </si>
  <si>
    <t xml:space="preserve">O00010</t>
  </si>
  <si>
    <t xml:space="preserve">O00011</t>
  </si>
  <si>
    <t xml:space="preserve">COD</t>
  </si>
  <si>
    <t xml:space="preserve">O00012</t>
  </si>
  <si>
    <t xml:space="preserve">O00013</t>
  </si>
  <si>
    <t xml:space="preserve">O00014</t>
  </si>
  <si>
    <t xml:space="preserve">O00015</t>
  </si>
  <si>
    <t xml:space="preserve">O00016</t>
  </si>
  <si>
    <t xml:space="preserve">O00017</t>
  </si>
  <si>
    <t xml:space="preserve">O00018</t>
  </si>
  <si>
    <t xml:space="preserve">O00019</t>
  </si>
  <si>
    <t xml:space="preserve">O00020</t>
  </si>
  <si>
    <t xml:space="preserve">O00021</t>
  </si>
  <si>
    <t xml:space="preserve">O00022</t>
  </si>
  <si>
    <t xml:space="preserve">O00023</t>
  </si>
  <si>
    <t xml:space="preserve">O00024</t>
  </si>
  <si>
    <t xml:space="preserve">O00025</t>
  </si>
  <si>
    <t xml:space="preserve">O00026</t>
  </si>
  <si>
    <t xml:space="preserve">O00027</t>
  </si>
  <si>
    <t xml:space="preserve">O00028</t>
  </si>
  <si>
    <t xml:space="preserve">O00029</t>
  </si>
  <si>
    <t xml:space="preserve">O00030</t>
  </si>
  <si>
    <t xml:space="preserve">O00031</t>
  </si>
  <si>
    <t xml:space="preserve">O00032</t>
  </si>
  <si>
    <t xml:space="preserve">O00033</t>
  </si>
  <si>
    <t xml:space="preserve">O00034</t>
  </si>
  <si>
    <t xml:space="preserve">O00035</t>
  </si>
  <si>
    <t xml:space="preserve">O00036</t>
  </si>
  <si>
    <t xml:space="preserve">O00037</t>
  </si>
  <si>
    <t xml:space="preserve">O00038</t>
  </si>
  <si>
    <t xml:space="preserve">O00039</t>
  </si>
  <si>
    <t xml:space="preserve">O00040</t>
  </si>
  <si>
    <t xml:space="preserve">O00041</t>
  </si>
  <si>
    <t xml:space="preserve">O00042</t>
  </si>
  <si>
    <t xml:space="preserve">O00043</t>
  </si>
  <si>
    <t xml:space="preserve">O00044</t>
  </si>
  <si>
    <t xml:space="preserve">O00045</t>
  </si>
  <si>
    <t xml:space="preserve">O00046</t>
  </si>
  <si>
    <t xml:space="preserve">O00047</t>
  </si>
  <si>
    <t xml:space="preserve">O00048</t>
  </si>
  <si>
    <t xml:space="preserve">O00049</t>
  </si>
  <si>
    <t xml:space="preserve">O00050</t>
  </si>
  <si>
    <t xml:space="preserve">O00051</t>
  </si>
  <si>
    <t xml:space="preserve">O00052</t>
  </si>
  <si>
    <t xml:space="preserve">O00053</t>
  </si>
  <si>
    <t xml:space="preserve">O00054</t>
  </si>
  <si>
    <t xml:space="preserve">O00055</t>
  </si>
  <si>
    <t xml:space="preserve">O00056</t>
  </si>
  <si>
    <t xml:space="preserve">O00057</t>
  </si>
  <si>
    <t xml:space="preserve">O00058</t>
  </si>
  <si>
    <t xml:space="preserve">O00059</t>
  </si>
  <si>
    <t xml:space="preserve">O00060</t>
  </si>
  <si>
    <t xml:space="preserve">O00061</t>
  </si>
  <si>
    <t xml:space="preserve">O00062</t>
  </si>
  <si>
    <t xml:space="preserve">O00063</t>
  </si>
  <si>
    <t xml:space="preserve">O00064</t>
  </si>
  <si>
    <t xml:space="preserve">O00065</t>
  </si>
  <si>
    <t xml:space="preserve">O00066</t>
  </si>
  <si>
    <t xml:space="preserve">O00067</t>
  </si>
  <si>
    <t xml:space="preserve">O00068</t>
  </si>
  <si>
    <t xml:space="preserve">O00069</t>
  </si>
  <si>
    <t xml:space="preserve">O00070</t>
  </si>
  <si>
    <t xml:space="preserve">O00071</t>
  </si>
  <si>
    <t xml:space="preserve">O00072</t>
  </si>
  <si>
    <t xml:space="preserve">O00073</t>
  </si>
  <si>
    <t xml:space="preserve">O00074</t>
  </si>
  <si>
    <t xml:space="preserve">O00075</t>
  </si>
  <si>
    <t xml:space="preserve">O00076</t>
  </si>
  <si>
    <t xml:space="preserve">O00077</t>
  </si>
  <si>
    <t xml:space="preserve">O00078</t>
  </si>
  <si>
    <t xml:space="preserve">O00079</t>
  </si>
  <si>
    <t xml:space="preserve">O00080</t>
  </si>
  <si>
    <t xml:space="preserve">O00081</t>
  </si>
  <si>
    <t xml:space="preserve">O00082</t>
  </si>
  <si>
    <t xml:space="preserve">O00083</t>
  </si>
  <si>
    <t xml:space="preserve">O00084</t>
  </si>
  <si>
    <t xml:space="preserve">O00085</t>
  </si>
  <si>
    <t xml:space="preserve">O00086</t>
  </si>
  <si>
    <t xml:space="preserve">O00087</t>
  </si>
  <si>
    <t xml:space="preserve">O00088</t>
  </si>
  <si>
    <t xml:space="preserve">O00089</t>
  </si>
  <si>
    <t xml:space="preserve">O00090</t>
  </si>
  <si>
    <t xml:space="preserve">O00091</t>
  </si>
  <si>
    <t xml:space="preserve">O00092</t>
  </si>
  <si>
    <t xml:space="preserve">O00093</t>
  </si>
  <si>
    <t xml:space="preserve">O00094</t>
  </si>
  <si>
    <t xml:space="preserve">O00095</t>
  </si>
  <si>
    <t xml:space="preserve">O00096</t>
  </si>
  <si>
    <t xml:space="preserve">O00097</t>
  </si>
  <si>
    <t xml:space="preserve">O00098</t>
  </si>
  <si>
    <t xml:space="preserve">O00099</t>
  </si>
  <si>
    <t xml:space="preserve">O00100</t>
  </si>
  <si>
    <t xml:space="preserve">O00101</t>
  </si>
  <si>
    <t xml:space="preserve">O00102</t>
  </si>
  <si>
    <t xml:space="preserve">O00103</t>
  </si>
  <si>
    <t xml:space="preserve">O00104</t>
  </si>
  <si>
    <t xml:space="preserve">O00105</t>
  </si>
  <si>
    <t xml:space="preserve">O00106</t>
  </si>
  <si>
    <t xml:space="preserve">O00107</t>
  </si>
  <si>
    <t xml:space="preserve">O00108</t>
  </si>
  <si>
    <t xml:space="preserve">O00109</t>
  </si>
  <si>
    <t xml:space="preserve">O00110</t>
  </si>
  <si>
    <t xml:space="preserve">O00111</t>
  </si>
  <si>
    <t xml:space="preserve">O00112</t>
  </si>
  <si>
    <t xml:space="preserve">O00113</t>
  </si>
  <si>
    <t xml:space="preserve">O00114</t>
  </si>
  <si>
    <t xml:space="preserve">O00115</t>
  </si>
  <si>
    <t xml:space="preserve">O00116</t>
  </si>
  <si>
    <t xml:space="preserve">O00117</t>
  </si>
  <si>
    <t xml:space="preserve">O00118</t>
  </si>
  <si>
    <t xml:space="preserve">O00119</t>
  </si>
  <si>
    <t xml:space="preserve">O00120</t>
  </si>
  <si>
    <t xml:space="preserve">O00121</t>
  </si>
  <si>
    <t xml:space="preserve">O00122</t>
  </si>
  <si>
    <t xml:space="preserve">O00123</t>
  </si>
  <si>
    <t xml:space="preserve">O00124</t>
  </si>
  <si>
    <t xml:space="preserve">O00125</t>
  </si>
  <si>
    <t xml:space="preserve">O00126</t>
  </si>
  <si>
    <t xml:space="preserve">O00127</t>
  </si>
  <si>
    <t xml:space="preserve">O00128</t>
  </si>
  <si>
    <t xml:space="preserve">O00129</t>
  </si>
  <si>
    <t xml:space="preserve">O00130</t>
  </si>
  <si>
    <t xml:space="preserve">O00131</t>
  </si>
  <si>
    <t xml:space="preserve">O00132</t>
  </si>
  <si>
    <t xml:space="preserve">O00133</t>
  </si>
  <si>
    <t xml:space="preserve">O00134</t>
  </si>
  <si>
    <t xml:space="preserve">O00135</t>
  </si>
  <si>
    <t xml:space="preserve">O00136</t>
  </si>
  <si>
    <t xml:space="preserve">O00137</t>
  </si>
  <si>
    <t xml:space="preserve">O00138</t>
  </si>
  <si>
    <t xml:space="preserve">O00139</t>
  </si>
  <si>
    <t xml:space="preserve">O00140</t>
  </si>
  <si>
    <t xml:space="preserve">O00141</t>
  </si>
  <si>
    <t xml:space="preserve">O00142</t>
  </si>
  <si>
    <t xml:space="preserve">O00143</t>
  </si>
  <si>
    <t xml:space="preserve">O00144</t>
  </si>
  <si>
    <t xml:space="preserve">O00145</t>
  </si>
  <si>
    <t xml:space="preserve">O00146</t>
  </si>
  <si>
    <t xml:space="preserve">O00147</t>
  </si>
  <si>
    <t xml:space="preserve">O00148</t>
  </si>
  <si>
    <t xml:space="preserve">O00149</t>
  </si>
  <si>
    <t xml:space="preserve">O00150</t>
  </si>
  <si>
    <t xml:space="preserve">O00151</t>
  </si>
  <si>
    <t xml:space="preserve">O00152</t>
  </si>
  <si>
    <t xml:space="preserve">O00153</t>
  </si>
  <si>
    <t xml:space="preserve">O00154</t>
  </si>
  <si>
    <t xml:space="preserve">O00155</t>
  </si>
  <si>
    <t xml:space="preserve">O00156</t>
  </si>
  <si>
    <t xml:space="preserve">O00157</t>
  </si>
  <si>
    <t xml:space="preserve">O00158</t>
  </si>
  <si>
    <t xml:space="preserve">O00159</t>
  </si>
  <si>
    <t xml:space="preserve">O00160</t>
  </si>
  <si>
    <t xml:space="preserve">O00161</t>
  </si>
  <si>
    <t xml:space="preserve">O00162</t>
  </si>
  <si>
    <t xml:space="preserve">O00163</t>
  </si>
  <si>
    <t xml:space="preserve">O00164</t>
  </si>
  <si>
    <t xml:space="preserve">O00165</t>
  </si>
  <si>
    <t xml:space="preserve">O00166</t>
  </si>
  <si>
    <t xml:space="preserve">O00167</t>
  </si>
  <si>
    <t xml:space="preserve">O00168</t>
  </si>
  <si>
    <t xml:space="preserve">O00169</t>
  </si>
  <si>
    <t xml:space="preserve">O00170</t>
  </si>
  <si>
    <t xml:space="preserve">O00171</t>
  </si>
  <si>
    <t xml:space="preserve">O00172</t>
  </si>
  <si>
    <t xml:space="preserve">O00173</t>
  </si>
  <si>
    <t xml:space="preserve">O00174</t>
  </si>
  <si>
    <t xml:space="preserve">O00175</t>
  </si>
  <si>
    <t xml:space="preserve">O00176</t>
  </si>
  <si>
    <t xml:space="preserve">O00177</t>
  </si>
  <si>
    <t xml:space="preserve">O00178</t>
  </si>
  <si>
    <t xml:space="preserve">O00179</t>
  </si>
  <si>
    <t xml:space="preserve">O00180</t>
  </si>
  <si>
    <t xml:space="preserve">O00181</t>
  </si>
  <si>
    <t xml:space="preserve">O00182</t>
  </si>
  <si>
    <t xml:space="preserve">O00183</t>
  </si>
  <si>
    <t xml:space="preserve">O00184</t>
  </si>
  <si>
    <t xml:space="preserve">O00185</t>
  </si>
  <si>
    <t xml:space="preserve">O00186</t>
  </si>
  <si>
    <t xml:space="preserve">O00187</t>
  </si>
  <si>
    <t xml:space="preserve">O00188</t>
  </si>
  <si>
    <t xml:space="preserve">O00189</t>
  </si>
  <si>
    <t xml:space="preserve">O00190</t>
  </si>
  <si>
    <t xml:space="preserve">O00191</t>
  </si>
  <si>
    <t xml:space="preserve">O00192</t>
  </si>
  <si>
    <t xml:space="preserve">O00193</t>
  </si>
  <si>
    <t xml:space="preserve">O00194</t>
  </si>
  <si>
    <t xml:space="preserve">O00195</t>
  </si>
  <si>
    <t xml:space="preserve">O00196</t>
  </si>
  <si>
    <t xml:space="preserve">O00197</t>
  </si>
  <si>
    <t xml:space="preserve">O00198</t>
  </si>
  <si>
    <t xml:space="preserve">O00199</t>
  </si>
  <si>
    <t xml:space="preserve">O00200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</si>
</sst>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%"/>
    <numFmt numFmtId="168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8D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78D4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8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false" outlineLevel="0" collapsed="false">
      <c r="A4" s="2" t="s">
        <v>4</v>
      </c>
      <c r="B4" s="2" t="s">
        <v>5</v>
      </c>
      <c r="C4" s="2" t="s">
        <v>6</v>
      </c>
    </row>
    <row r="5" customFormat="false" ht="15" hidden="false" customHeight="false" outlineLevel="0" collapsed="false">
      <c r="A5" s="2" t="s">
        <v>7</v>
      </c>
      <c r="B5" s="2" t="s">
        <v>8</v>
      </c>
      <c r="C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4" t="s">
        <v>13</v>
      </c>
      <c r="B8" s="2"/>
      <c r="C8" s="2"/>
    </row>
    <row r="9" customFormat="false" ht="15" hidden="false" customHeight="false" outlineLevel="0" collapsed="false">
      <c r="A9" s="2" t="s">
        <v>14</v>
      </c>
      <c r="B9" s="2"/>
      <c r="C9" s="2"/>
    </row>
    <row r="10" customFormat="false" ht="15" hidden="false" customHeight="false" outlineLevel="0" collapsed="false">
      <c r="A10" s="2" t="s">
        <v>15</v>
      </c>
      <c r="B10" s="2"/>
      <c r="C10" s="2"/>
    </row>
    <row r="11" customFormat="false" ht="15" hidden="false" customHeight="false" outlineLevel="0" collapsed="false">
      <c r="A11" s="2" t="s">
        <v>16</v>
      </c>
      <c r="B11" s="2"/>
      <c r="C11" s="2"/>
    </row>
    <row r="12" customFormat="false" ht="15" hidden="false" customHeight="false" outlineLevel="0" collapsed="false">
      <c r="A12" s="2" t="s">
        <v>17</v>
      </c>
      <c r="B12" s="2"/>
      <c r="C12" s="2"/>
    </row>
    <row r="13" customFormat="false" ht="15" hidden="false" customHeight="false" outlineLevel="0" collapsed="false">
      <c r="A13" s="2" t="s">
        <v>18</v>
      </c>
      <c r="B13" s="2"/>
      <c r="C13" s="2"/>
    </row>
    <row r="14" customFormat="false" ht="15" hidden="false" customHeight="false" outlineLevel="0" collapsed="false">
      <c r="A14" s="2"/>
      <c r="B14" s="2"/>
      <c r="C14" s="2"/>
    </row>
    <row r="15" customFormat="false" ht="15" hidden="false" customHeight="false" outlineLevel="0" collapsed="false">
      <c r="A15" s="2" t="s">
        <v>19</v>
      </c>
      <c r="B15" s="2"/>
      <c r="C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</row>
    <row r="2" customFormat="false" ht="15" hidden="false" customHeight="false" outlineLevel="0" collapsed="false">
      <c r="A2" s="2" t="s">
        <v>27</v>
      </c>
      <c r="B2" s="2" t="s">
        <v>28</v>
      </c>
      <c r="C2" s="2" t="s">
        <v>29</v>
      </c>
      <c r="D2" s="2" t="s">
        <v>30</v>
      </c>
      <c r="E2" s="2" t="s">
        <v>30</v>
      </c>
      <c r="F2" s="2" t="s">
        <v>31</v>
      </c>
      <c r="G2" s="6" t="n">
        <v>44790</v>
      </c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6" t="n">
        <v>45320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s">
        <v>40</v>
      </c>
      <c r="D4" s="2" t="s">
        <v>30</v>
      </c>
      <c r="E4" s="2" t="s">
        <v>30</v>
      </c>
      <c r="F4" s="2" t="s">
        <v>31</v>
      </c>
      <c r="G4" s="6" t="n">
        <v>44592</v>
      </c>
    </row>
    <row r="5" customFormat="false" ht="15" hidden="false" customHeight="false" outlineLevel="0" collapsed="false">
      <c r="A5" s="2" t="s">
        <v>41</v>
      </c>
      <c r="B5" s="2" t="s">
        <v>42</v>
      </c>
      <c r="C5" s="2" t="s">
        <v>43</v>
      </c>
      <c r="D5" s="2" t="s">
        <v>30</v>
      </c>
      <c r="E5" s="2" t="s">
        <v>30</v>
      </c>
      <c r="F5" s="2" t="s">
        <v>37</v>
      </c>
      <c r="G5" s="6" t="n">
        <v>45178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37</v>
      </c>
      <c r="G6" s="6" t="n">
        <v>45227</v>
      </c>
    </row>
    <row r="7" customFormat="false" ht="15" hidden="false" customHeight="false" outlineLevel="0" collapsed="false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37</v>
      </c>
      <c r="G7" s="6" t="n">
        <v>44846</v>
      </c>
    </row>
    <row r="8" customFormat="false" ht="15" hidden="false" customHeight="false" outlineLevel="0" collapsed="false">
      <c r="A8" s="2" t="s">
        <v>54</v>
      </c>
      <c r="B8" s="2" t="s">
        <v>55</v>
      </c>
      <c r="C8" s="2" t="s">
        <v>56</v>
      </c>
      <c r="D8" s="2" t="s">
        <v>47</v>
      </c>
      <c r="E8" s="2" t="s">
        <v>48</v>
      </c>
      <c r="F8" s="2" t="s">
        <v>37</v>
      </c>
      <c r="G8" s="6" t="n">
        <v>44994</v>
      </c>
    </row>
    <row r="9" customFormat="false" ht="15" hidden="false" customHeight="false" outlineLevel="0" collapsed="false">
      <c r="A9" s="2" t="s">
        <v>57</v>
      </c>
      <c r="B9" s="2" t="s">
        <v>58</v>
      </c>
      <c r="C9" s="2" t="s">
        <v>59</v>
      </c>
      <c r="D9" s="2" t="s">
        <v>60</v>
      </c>
      <c r="E9" s="2" t="s">
        <v>48</v>
      </c>
      <c r="F9" s="2" t="s">
        <v>31</v>
      </c>
      <c r="G9" s="6" t="n">
        <v>45343</v>
      </c>
    </row>
    <row r="10" customFormat="false" ht="15" hidden="false" customHeight="false" outlineLevel="0" collapsed="false">
      <c r="A10" s="2" t="s">
        <v>61</v>
      </c>
      <c r="B10" s="2" t="s">
        <v>62</v>
      </c>
      <c r="C10" s="2" t="s">
        <v>63</v>
      </c>
      <c r="D10" s="2" t="s">
        <v>60</v>
      </c>
      <c r="E10" s="2" t="s">
        <v>48</v>
      </c>
      <c r="F10" s="2" t="s">
        <v>64</v>
      </c>
      <c r="G10" s="6" t="n">
        <v>44661</v>
      </c>
    </row>
    <row r="11" customFormat="false" ht="15" hidden="false" customHeight="false" outlineLevel="0" collapsed="false">
      <c r="A11" s="2" t="s">
        <v>65</v>
      </c>
      <c r="B11" s="2" t="s">
        <v>66</v>
      </c>
      <c r="C11" s="2" t="s">
        <v>67</v>
      </c>
      <c r="D11" s="2" t="s">
        <v>60</v>
      </c>
      <c r="E11" s="2" t="s">
        <v>48</v>
      </c>
      <c r="F11" s="2" t="s">
        <v>37</v>
      </c>
      <c r="G11" s="6" t="n">
        <v>44832</v>
      </c>
    </row>
    <row r="12" customFormat="false" ht="15" hidden="false" customHeight="false" outlineLevel="0" collapsed="false">
      <c r="A12" s="2" t="s">
        <v>68</v>
      </c>
      <c r="B12" s="2" t="s">
        <v>69</v>
      </c>
      <c r="C12" s="2" t="s">
        <v>70</v>
      </c>
      <c r="D12" s="2" t="s">
        <v>47</v>
      </c>
      <c r="E12" s="2" t="s">
        <v>48</v>
      </c>
      <c r="F12" s="2" t="s">
        <v>37</v>
      </c>
      <c r="G12" s="6" t="n">
        <v>44689</v>
      </c>
    </row>
    <row r="13" customFormat="false" ht="15" hidden="false" customHeight="false" outlineLevel="0" collapsed="false">
      <c r="A13" s="2" t="s">
        <v>71</v>
      </c>
      <c r="B13" s="2" t="s">
        <v>72</v>
      </c>
      <c r="C13" s="2" t="s">
        <v>73</v>
      </c>
      <c r="D13" s="2" t="s">
        <v>52</v>
      </c>
      <c r="E13" s="2" t="s">
        <v>53</v>
      </c>
      <c r="F13" s="2" t="s">
        <v>64</v>
      </c>
      <c r="G13" s="6" t="n">
        <v>45411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2" t="s">
        <v>76</v>
      </c>
      <c r="D14" s="2" t="s">
        <v>60</v>
      </c>
      <c r="E14" s="2" t="s">
        <v>48</v>
      </c>
      <c r="F14" s="2" t="s">
        <v>37</v>
      </c>
      <c r="G14" s="6" t="n">
        <v>44633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47</v>
      </c>
      <c r="E15" s="2" t="s">
        <v>48</v>
      </c>
      <c r="F15" s="2" t="s">
        <v>64</v>
      </c>
      <c r="G15" s="6" t="n">
        <v>44643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64</v>
      </c>
      <c r="G16" s="6" t="n">
        <v>44846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31</v>
      </c>
      <c r="G17" s="6" t="n">
        <v>44941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60</v>
      </c>
      <c r="E18" s="2" t="s">
        <v>48</v>
      </c>
      <c r="F18" s="2" t="s">
        <v>37</v>
      </c>
      <c r="G18" s="6" t="n">
        <v>45261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30</v>
      </c>
      <c r="E19" s="2" t="s">
        <v>30</v>
      </c>
      <c r="F19" s="2" t="s">
        <v>37</v>
      </c>
      <c r="G19" s="6" t="n">
        <v>45308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83</v>
      </c>
      <c r="E20" s="2" t="s">
        <v>84</v>
      </c>
      <c r="F20" s="2" t="s">
        <v>64</v>
      </c>
      <c r="G20" s="6" t="n">
        <v>44838</v>
      </c>
    </row>
    <row r="21" customFormat="false" ht="15" hidden="false" customHeight="false" outlineLevel="0" collapsed="false">
      <c r="A21" s="2" t="s">
        <v>99</v>
      </c>
      <c r="B21" s="2" t="s">
        <v>86</v>
      </c>
      <c r="C21" s="2" t="s">
        <v>100</v>
      </c>
      <c r="D21" s="2" t="s">
        <v>83</v>
      </c>
      <c r="E21" s="2" t="s">
        <v>84</v>
      </c>
      <c r="F21" s="2" t="s">
        <v>31</v>
      </c>
      <c r="G21" s="6" t="n">
        <v>44796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47</v>
      </c>
      <c r="E22" s="2" t="s">
        <v>48</v>
      </c>
      <c r="F22" s="2" t="s">
        <v>64</v>
      </c>
      <c r="G22" s="6" t="n">
        <v>44836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30</v>
      </c>
      <c r="E23" s="2" t="s">
        <v>30</v>
      </c>
      <c r="F23" s="2" t="s">
        <v>37</v>
      </c>
      <c r="G23" s="6" t="n">
        <v>44884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83</v>
      </c>
      <c r="E24" s="2" t="s">
        <v>84</v>
      </c>
      <c r="F24" s="2" t="s">
        <v>64</v>
      </c>
      <c r="G24" s="6" t="n">
        <v>45220</v>
      </c>
    </row>
    <row r="25" customFormat="false" ht="15" hidden="false" customHeight="false" outlineLevel="0" collapsed="false">
      <c r="A25" s="2" t="s">
        <v>110</v>
      </c>
      <c r="B25" s="2" t="s">
        <v>111</v>
      </c>
      <c r="C25" s="2" t="s">
        <v>112</v>
      </c>
      <c r="D25" s="2" t="s">
        <v>88</v>
      </c>
      <c r="E25" s="2" t="s">
        <v>89</v>
      </c>
      <c r="F25" s="2" t="s">
        <v>31</v>
      </c>
      <c r="G25" s="6" t="n">
        <v>44814</v>
      </c>
    </row>
    <row r="26" customFormat="false" ht="15" hidden="false" customHeight="false" outlineLevel="0" collapsed="false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s">
        <v>64</v>
      </c>
      <c r="G26" s="6" t="n">
        <v>45159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120</v>
      </c>
      <c r="D27" s="2" t="s">
        <v>52</v>
      </c>
      <c r="E27" s="2" t="s">
        <v>53</v>
      </c>
      <c r="F27" s="2" t="s">
        <v>31</v>
      </c>
      <c r="G27" s="6" t="n">
        <v>45083</v>
      </c>
    </row>
    <row r="28" customFormat="false" ht="15" hidden="false" customHeight="false" outlineLevel="0" collapsed="false">
      <c r="A28" s="2" t="s">
        <v>121</v>
      </c>
      <c r="B28" s="2" t="s">
        <v>122</v>
      </c>
      <c r="C28" s="2" t="s">
        <v>123</v>
      </c>
      <c r="D28" s="2" t="s">
        <v>88</v>
      </c>
      <c r="E28" s="2" t="s">
        <v>89</v>
      </c>
      <c r="F28" s="2" t="s">
        <v>31</v>
      </c>
      <c r="G28" s="6" t="n">
        <v>44718</v>
      </c>
    </row>
    <row r="29" customFormat="false" ht="15" hidden="false" customHeight="false" outlineLevel="0" collapsed="false">
      <c r="A29" s="2" t="s">
        <v>124</v>
      </c>
      <c r="B29" s="2" t="s">
        <v>125</v>
      </c>
      <c r="C29" s="2" t="s">
        <v>126</v>
      </c>
      <c r="D29" s="2" t="s">
        <v>35</v>
      </c>
      <c r="E29" s="2" t="s">
        <v>36</v>
      </c>
      <c r="F29" s="2" t="s">
        <v>37</v>
      </c>
      <c r="G29" s="6" t="n">
        <v>44627</v>
      </c>
    </row>
    <row r="30" customFormat="false" ht="15" hidden="false" customHeight="false" outlineLevel="0" collapsed="false">
      <c r="A30" s="2" t="s">
        <v>127</v>
      </c>
      <c r="B30" s="2" t="s">
        <v>128</v>
      </c>
      <c r="C30" s="2" t="s">
        <v>129</v>
      </c>
      <c r="D30" s="2" t="s">
        <v>52</v>
      </c>
      <c r="E30" s="2" t="s">
        <v>53</v>
      </c>
      <c r="F30" s="2" t="s">
        <v>64</v>
      </c>
      <c r="G30" s="6" t="n">
        <v>45103</v>
      </c>
    </row>
    <row r="31" customFormat="false" ht="15" hidden="false" customHeight="false" outlineLevel="0" collapsed="false">
      <c r="A31" s="2" t="s">
        <v>130</v>
      </c>
      <c r="B31" s="2" t="s">
        <v>131</v>
      </c>
      <c r="C31" s="2" t="s">
        <v>132</v>
      </c>
      <c r="D31" s="2" t="s">
        <v>116</v>
      </c>
      <c r="E31" s="2" t="s">
        <v>117</v>
      </c>
      <c r="F31" s="2" t="s">
        <v>37</v>
      </c>
      <c r="G31" s="6" t="n">
        <v>45300</v>
      </c>
    </row>
    <row r="32" customFormat="false" ht="15" hidden="false" customHeight="false" outlineLevel="0" collapsed="false">
      <c r="A32" s="2" t="s">
        <v>133</v>
      </c>
      <c r="B32" s="2" t="s">
        <v>134</v>
      </c>
      <c r="C32" s="2" t="s">
        <v>135</v>
      </c>
      <c r="D32" s="2" t="s">
        <v>30</v>
      </c>
      <c r="E32" s="2" t="s">
        <v>30</v>
      </c>
      <c r="F32" s="2" t="s">
        <v>64</v>
      </c>
      <c r="G32" s="6" t="n">
        <v>45349</v>
      </c>
    </row>
    <row r="33" customFormat="false" ht="15" hidden="false" customHeight="false" outlineLevel="0" collapsed="false">
      <c r="A33" s="2" t="s">
        <v>136</v>
      </c>
      <c r="B33" s="2" t="s">
        <v>137</v>
      </c>
      <c r="C33" s="2" t="s">
        <v>138</v>
      </c>
      <c r="D33" s="2" t="s">
        <v>60</v>
      </c>
      <c r="E33" s="2" t="s">
        <v>48</v>
      </c>
      <c r="F33" s="2" t="s">
        <v>64</v>
      </c>
      <c r="G33" s="6" t="n">
        <v>44723</v>
      </c>
    </row>
    <row r="34" customFormat="false" ht="15" hidden="false" customHeight="false" outlineLevel="0" collapsed="false">
      <c r="A34" s="2" t="s">
        <v>139</v>
      </c>
      <c r="B34" s="2" t="s">
        <v>28</v>
      </c>
      <c r="C34" s="2" t="s">
        <v>140</v>
      </c>
      <c r="D34" s="2" t="s">
        <v>88</v>
      </c>
      <c r="E34" s="2" t="s">
        <v>89</v>
      </c>
      <c r="F34" s="2" t="s">
        <v>37</v>
      </c>
      <c r="G34" s="6" t="n">
        <v>45342</v>
      </c>
    </row>
    <row r="35" customFormat="false" ht="15" hidden="false" customHeight="false" outlineLevel="0" collapsed="false">
      <c r="A35" s="2" t="s">
        <v>141</v>
      </c>
      <c r="B35" s="2" t="s">
        <v>142</v>
      </c>
      <c r="C35" s="2" t="s">
        <v>143</v>
      </c>
      <c r="D35" s="2" t="s">
        <v>35</v>
      </c>
      <c r="E35" s="2" t="s">
        <v>36</v>
      </c>
      <c r="F35" s="2" t="s">
        <v>37</v>
      </c>
      <c r="G35" s="6" t="n">
        <v>44867</v>
      </c>
    </row>
    <row r="36" customFormat="false" ht="15" hidden="false" customHeight="false" outlineLevel="0" collapsed="false">
      <c r="A36" s="2" t="s">
        <v>144</v>
      </c>
      <c r="B36" s="2" t="s">
        <v>145</v>
      </c>
      <c r="C36" s="2" t="s">
        <v>146</v>
      </c>
      <c r="D36" s="2" t="s">
        <v>83</v>
      </c>
      <c r="E36" s="2" t="s">
        <v>84</v>
      </c>
      <c r="F36" s="2" t="s">
        <v>31</v>
      </c>
      <c r="G36" s="6" t="n">
        <v>45114</v>
      </c>
    </row>
    <row r="37" customFormat="false" ht="15" hidden="false" customHeight="false" outlineLevel="0" collapsed="false">
      <c r="A37" s="2" t="s">
        <v>147</v>
      </c>
      <c r="B37" s="2" t="s">
        <v>148</v>
      </c>
      <c r="C37" s="2" t="s">
        <v>149</v>
      </c>
      <c r="D37" s="2" t="s">
        <v>47</v>
      </c>
      <c r="E37" s="2" t="s">
        <v>48</v>
      </c>
      <c r="F37" s="2" t="s">
        <v>64</v>
      </c>
      <c r="G37" s="6" t="n">
        <v>44581</v>
      </c>
    </row>
    <row r="38" customFormat="false" ht="15" hidden="false" customHeight="false" outlineLevel="0" collapsed="false">
      <c r="A38" s="2" t="s">
        <v>150</v>
      </c>
      <c r="B38" s="2" t="s">
        <v>151</v>
      </c>
      <c r="C38" s="2" t="s">
        <v>152</v>
      </c>
      <c r="D38" s="2" t="s">
        <v>30</v>
      </c>
      <c r="E38" s="2" t="s">
        <v>30</v>
      </c>
      <c r="F38" s="2" t="s">
        <v>64</v>
      </c>
      <c r="G38" s="6" t="n">
        <v>44807</v>
      </c>
    </row>
    <row r="39" customFormat="false" ht="15" hidden="false" customHeight="false" outlineLevel="0" collapsed="false">
      <c r="A39" s="2" t="s">
        <v>153</v>
      </c>
      <c r="B39" s="2" t="s">
        <v>105</v>
      </c>
      <c r="C39" s="2" t="s">
        <v>154</v>
      </c>
      <c r="D39" s="2" t="s">
        <v>47</v>
      </c>
      <c r="E39" s="2" t="s">
        <v>48</v>
      </c>
      <c r="F39" s="2" t="s">
        <v>31</v>
      </c>
      <c r="G39" s="6" t="n">
        <v>44649</v>
      </c>
    </row>
    <row r="40" customFormat="false" ht="15" hidden="false" customHeight="false" outlineLevel="0" collapsed="false">
      <c r="A40" s="2" t="s">
        <v>155</v>
      </c>
      <c r="B40" s="2" t="s">
        <v>81</v>
      </c>
      <c r="C40" s="2" t="s">
        <v>156</v>
      </c>
      <c r="D40" s="2" t="s">
        <v>88</v>
      </c>
      <c r="E40" s="2" t="s">
        <v>89</v>
      </c>
      <c r="F40" s="2" t="s">
        <v>37</v>
      </c>
      <c r="G40" s="6" t="n">
        <v>45346</v>
      </c>
    </row>
    <row r="41" customFormat="false" ht="15" hidden="false" customHeight="false" outlineLevel="0" collapsed="false">
      <c r="A41" s="2" t="s">
        <v>157</v>
      </c>
      <c r="B41" s="2" t="s">
        <v>97</v>
      </c>
      <c r="C41" s="2" t="s">
        <v>158</v>
      </c>
      <c r="D41" s="2" t="s">
        <v>35</v>
      </c>
      <c r="E41" s="2" t="s">
        <v>36</v>
      </c>
      <c r="F41" s="2" t="s">
        <v>37</v>
      </c>
      <c r="G41" s="6" t="n">
        <v>44731</v>
      </c>
    </row>
    <row r="42" customFormat="false" ht="15" hidden="false" customHeight="false" outlineLevel="0" collapsed="false">
      <c r="A42" s="2" t="s">
        <v>159</v>
      </c>
      <c r="B42" s="2" t="s">
        <v>160</v>
      </c>
      <c r="C42" s="2" t="s">
        <v>161</v>
      </c>
      <c r="D42" s="2" t="s">
        <v>116</v>
      </c>
      <c r="E42" s="2" t="s">
        <v>117</v>
      </c>
      <c r="F42" s="2" t="s">
        <v>64</v>
      </c>
      <c r="G42" s="6" t="n">
        <v>44778</v>
      </c>
    </row>
    <row r="43" customFormat="false" ht="15" hidden="false" customHeight="false" outlineLevel="0" collapsed="false">
      <c r="A43" s="2" t="s">
        <v>162</v>
      </c>
      <c r="B43" s="2" t="s">
        <v>163</v>
      </c>
      <c r="C43" s="2" t="s">
        <v>164</v>
      </c>
      <c r="D43" s="2" t="s">
        <v>83</v>
      </c>
      <c r="E43" s="2" t="s">
        <v>84</v>
      </c>
      <c r="F43" s="2" t="s">
        <v>64</v>
      </c>
      <c r="G43" s="6" t="n">
        <v>45249</v>
      </c>
    </row>
    <row r="44" customFormat="false" ht="15" hidden="false" customHeight="false" outlineLevel="0" collapsed="false">
      <c r="A44" s="2" t="s">
        <v>165</v>
      </c>
      <c r="B44" s="2" t="s">
        <v>166</v>
      </c>
      <c r="C44" s="2" t="s">
        <v>167</v>
      </c>
      <c r="D44" s="2" t="s">
        <v>60</v>
      </c>
      <c r="E44" s="2" t="s">
        <v>48</v>
      </c>
      <c r="F44" s="2" t="s">
        <v>64</v>
      </c>
      <c r="G44" s="6" t="n">
        <v>44685</v>
      </c>
    </row>
    <row r="45" customFormat="false" ht="15" hidden="false" customHeight="false" outlineLevel="0" collapsed="false">
      <c r="A45" s="2" t="s">
        <v>168</v>
      </c>
      <c r="B45" s="2" t="s">
        <v>169</v>
      </c>
      <c r="C45" s="2" t="s">
        <v>170</v>
      </c>
      <c r="D45" s="2" t="s">
        <v>83</v>
      </c>
      <c r="E45" s="2" t="s">
        <v>84</v>
      </c>
      <c r="F45" s="2" t="s">
        <v>64</v>
      </c>
      <c r="G45" s="6" t="n">
        <v>44583</v>
      </c>
    </row>
    <row r="46" customFormat="false" ht="15" hidden="false" customHeight="false" outlineLevel="0" collapsed="false">
      <c r="A46" s="2" t="s">
        <v>171</v>
      </c>
      <c r="B46" s="2" t="s">
        <v>75</v>
      </c>
      <c r="C46" s="2" t="s">
        <v>172</v>
      </c>
      <c r="D46" s="2" t="s">
        <v>83</v>
      </c>
      <c r="E46" s="2" t="s">
        <v>84</v>
      </c>
      <c r="F46" s="2" t="s">
        <v>31</v>
      </c>
      <c r="G46" s="6" t="n">
        <v>44634</v>
      </c>
    </row>
    <row r="47" customFormat="false" ht="15" hidden="false" customHeight="false" outlineLevel="0" collapsed="false">
      <c r="A47" s="2" t="s">
        <v>173</v>
      </c>
      <c r="B47" s="2" t="s">
        <v>169</v>
      </c>
      <c r="C47" s="2" t="s">
        <v>174</v>
      </c>
      <c r="D47" s="2" t="s">
        <v>47</v>
      </c>
      <c r="E47" s="2" t="s">
        <v>48</v>
      </c>
      <c r="F47" s="2" t="s">
        <v>31</v>
      </c>
      <c r="G47" s="6" t="n">
        <v>45442</v>
      </c>
    </row>
    <row r="48" customFormat="false" ht="15" hidden="false" customHeight="false" outlineLevel="0" collapsed="false">
      <c r="A48" s="2" t="s">
        <v>175</v>
      </c>
      <c r="B48" s="2" t="s">
        <v>72</v>
      </c>
      <c r="C48" s="2" t="s">
        <v>176</v>
      </c>
      <c r="D48" s="2" t="s">
        <v>60</v>
      </c>
      <c r="E48" s="2" t="s">
        <v>48</v>
      </c>
      <c r="F48" s="2" t="s">
        <v>31</v>
      </c>
      <c r="G48" s="6" t="n">
        <v>44847</v>
      </c>
    </row>
    <row r="49" customFormat="false" ht="15" hidden="false" customHeight="false" outlineLevel="0" collapsed="false">
      <c r="A49" s="2" t="s">
        <v>177</v>
      </c>
      <c r="B49" s="2" t="s">
        <v>178</v>
      </c>
      <c r="C49" s="2" t="s">
        <v>179</v>
      </c>
      <c r="D49" s="2" t="s">
        <v>88</v>
      </c>
      <c r="E49" s="2" t="s">
        <v>89</v>
      </c>
      <c r="F49" s="2" t="s">
        <v>31</v>
      </c>
      <c r="G49" s="6" t="n">
        <v>45302</v>
      </c>
    </row>
    <row r="50" customFormat="false" ht="15" hidden="false" customHeight="false" outlineLevel="0" collapsed="false">
      <c r="A50" s="2" t="s">
        <v>180</v>
      </c>
      <c r="B50" s="2" t="s">
        <v>50</v>
      </c>
      <c r="C50" s="2" t="s">
        <v>181</v>
      </c>
      <c r="D50" s="2" t="s">
        <v>88</v>
      </c>
      <c r="E50" s="2" t="s">
        <v>89</v>
      </c>
      <c r="F50" s="2" t="s">
        <v>64</v>
      </c>
      <c r="G50" s="6" t="n">
        <v>44756</v>
      </c>
    </row>
    <row r="51" customFormat="false" ht="15" hidden="false" customHeight="false" outlineLevel="0" collapsed="false">
      <c r="A51" s="2" t="s">
        <v>182</v>
      </c>
      <c r="B51" s="2" t="s">
        <v>183</v>
      </c>
      <c r="C51" s="2" t="s">
        <v>184</v>
      </c>
      <c r="D51" s="2" t="s">
        <v>30</v>
      </c>
      <c r="E51" s="2" t="s">
        <v>30</v>
      </c>
      <c r="F51" s="2" t="s">
        <v>64</v>
      </c>
      <c r="G51" s="6" t="n">
        <v>44995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5" t="s">
        <v>185</v>
      </c>
      <c r="B1" s="5" t="s">
        <v>186</v>
      </c>
      <c r="C1" s="5" t="s">
        <v>187</v>
      </c>
      <c r="D1" s="5" t="s">
        <v>188</v>
      </c>
    </row>
    <row r="2" customFormat="false" ht="15" hidden="false" customHeight="false" outlineLevel="0" collapsed="false">
      <c r="A2" s="2" t="s">
        <v>189</v>
      </c>
      <c r="B2" s="2" t="s">
        <v>190</v>
      </c>
      <c r="C2" s="2" t="s">
        <v>191</v>
      </c>
      <c r="D2" s="7" t="n">
        <v>55000</v>
      </c>
    </row>
    <row r="3" customFormat="false" ht="15" hidden="false" customHeight="false" outlineLevel="0" collapsed="false">
      <c r="A3" s="2" t="s">
        <v>192</v>
      </c>
      <c r="B3" s="2" t="s">
        <v>193</v>
      </c>
      <c r="C3" s="2" t="s">
        <v>191</v>
      </c>
      <c r="D3" s="7" t="n">
        <v>22000</v>
      </c>
    </row>
    <row r="4" customFormat="false" ht="15" hidden="false" customHeight="false" outlineLevel="0" collapsed="false">
      <c r="A4" s="2" t="s">
        <v>194</v>
      </c>
      <c r="B4" s="2" t="s">
        <v>195</v>
      </c>
      <c r="C4" s="2" t="s">
        <v>196</v>
      </c>
      <c r="D4" s="7" t="n">
        <v>2500</v>
      </c>
    </row>
    <row r="5" customFormat="false" ht="15" hidden="false" customHeight="false" outlineLevel="0" collapsed="false">
      <c r="A5" s="2" t="s">
        <v>197</v>
      </c>
      <c r="B5" s="2" t="s">
        <v>198</v>
      </c>
      <c r="C5" s="2" t="s">
        <v>191</v>
      </c>
      <c r="D5" s="7" t="n">
        <v>12000</v>
      </c>
    </row>
    <row r="6" customFormat="false" ht="15" hidden="false" customHeight="false" outlineLevel="0" collapsed="false">
      <c r="A6" s="2" t="s">
        <v>199</v>
      </c>
      <c r="B6" s="2" t="s">
        <v>200</v>
      </c>
      <c r="C6" s="2" t="s">
        <v>196</v>
      </c>
      <c r="D6" s="7" t="n">
        <v>1500</v>
      </c>
    </row>
    <row r="7" customFormat="false" ht="15" hidden="false" customHeight="false" outlineLevel="0" collapsed="false">
      <c r="A7" s="2" t="s">
        <v>201</v>
      </c>
      <c r="B7" s="2" t="s">
        <v>202</v>
      </c>
      <c r="C7" s="2" t="s">
        <v>196</v>
      </c>
      <c r="D7" s="7" t="n">
        <v>800</v>
      </c>
    </row>
    <row r="8" customFormat="false" ht="15" hidden="false" customHeight="false" outlineLevel="0" collapsed="false">
      <c r="A8" s="2" t="s">
        <v>203</v>
      </c>
      <c r="B8" s="2" t="s">
        <v>204</v>
      </c>
      <c r="C8" s="2" t="s">
        <v>191</v>
      </c>
      <c r="D8" s="7" t="n">
        <v>28000</v>
      </c>
    </row>
    <row r="9" customFormat="false" ht="15" hidden="false" customHeight="false" outlineLevel="0" collapsed="false">
      <c r="A9" s="2" t="s">
        <v>205</v>
      </c>
      <c r="B9" s="2" t="s">
        <v>206</v>
      </c>
      <c r="C9" s="2" t="s">
        <v>196</v>
      </c>
      <c r="D9" s="7" t="n">
        <v>3200</v>
      </c>
    </row>
    <row r="10" customFormat="false" ht="15" hidden="false" customHeight="false" outlineLevel="0" collapsed="false">
      <c r="A10" s="2" t="s">
        <v>207</v>
      </c>
      <c r="B10" s="2" t="s">
        <v>208</v>
      </c>
      <c r="C10" s="2" t="s">
        <v>209</v>
      </c>
      <c r="D10" s="7" t="n">
        <v>9500</v>
      </c>
    </row>
    <row r="11" customFormat="false" ht="15" hidden="false" customHeight="false" outlineLevel="0" collapsed="false">
      <c r="A11" s="2" t="s">
        <v>210</v>
      </c>
      <c r="B11" s="2" t="s">
        <v>211</v>
      </c>
      <c r="C11" s="2" t="s">
        <v>212</v>
      </c>
      <c r="D11" s="7" t="n">
        <v>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15" hidden="false" customHeight="false" outlineLevel="0" collapsed="false">
      <c r="A1" s="5" t="s">
        <v>213</v>
      </c>
      <c r="B1" s="5" t="s">
        <v>214</v>
      </c>
      <c r="C1" s="5" t="s">
        <v>20</v>
      </c>
      <c r="D1" s="5" t="s">
        <v>185</v>
      </c>
      <c r="E1" s="5" t="s">
        <v>215</v>
      </c>
      <c r="F1" s="5" t="s">
        <v>188</v>
      </c>
      <c r="G1" s="5" t="s">
        <v>216</v>
      </c>
      <c r="H1" s="5" t="s">
        <v>217</v>
      </c>
      <c r="I1" s="5" t="s">
        <v>218</v>
      </c>
      <c r="J1" s="5" t="s">
        <v>219</v>
      </c>
    </row>
    <row r="2" customFormat="false" ht="15" hidden="false" customHeight="false" outlineLevel="0" collapsed="false">
      <c r="A2" s="2" t="s">
        <v>220</v>
      </c>
      <c r="B2" s="6" t="n">
        <v>45712</v>
      </c>
      <c r="C2" s="2" t="s">
        <v>130</v>
      </c>
      <c r="D2" s="2" t="s">
        <v>189</v>
      </c>
      <c r="E2" s="2" t="n">
        <v>1</v>
      </c>
      <c r="F2" s="7" t="n">
        <f aca="false">INDEX(Products!$D$2:$D$11,MATCH(D2,Products!$A$2:$A$11,0))</f>
        <v>55000</v>
      </c>
      <c r="G2" s="8" t="n">
        <v>0</v>
      </c>
      <c r="H2" s="9" t="n">
        <f aca="false">E2*F2*(1-G2)</f>
        <v>55000</v>
      </c>
      <c r="I2" s="2" t="s">
        <v>221</v>
      </c>
      <c r="J2" s="2" t="s">
        <v>222</v>
      </c>
    </row>
    <row r="3" customFormat="false" ht="15" hidden="false" customHeight="false" outlineLevel="0" collapsed="false">
      <c r="A3" s="2" t="s">
        <v>223</v>
      </c>
      <c r="B3" s="6" t="n">
        <v>45403</v>
      </c>
      <c r="C3" s="2" t="s">
        <v>85</v>
      </c>
      <c r="D3" s="2" t="s">
        <v>197</v>
      </c>
      <c r="E3" s="2" t="n">
        <v>2</v>
      </c>
      <c r="F3" s="7" t="n">
        <f aca="false">INDEX(Products!$D$2:$D$11,MATCH(D3,Products!$A$2:$A$11,0))</f>
        <v>12000</v>
      </c>
      <c r="G3" s="8" t="n">
        <v>0.15</v>
      </c>
      <c r="H3" s="9" t="n">
        <f aca="false">E3*F3*(1-G3)</f>
        <v>20400</v>
      </c>
      <c r="I3" s="2" t="s">
        <v>221</v>
      </c>
      <c r="J3" s="2" t="s">
        <v>224</v>
      </c>
    </row>
    <row r="4" customFormat="false" ht="15" hidden="false" customHeight="false" outlineLevel="0" collapsed="false">
      <c r="A4" s="2" t="s">
        <v>225</v>
      </c>
      <c r="B4" s="6" t="n">
        <v>45479</v>
      </c>
      <c r="C4" s="2" t="s">
        <v>93</v>
      </c>
      <c r="D4" s="2" t="s">
        <v>205</v>
      </c>
      <c r="E4" s="2" t="n">
        <v>2</v>
      </c>
      <c r="F4" s="7" t="n">
        <f aca="false">INDEX(Products!$D$2:$D$11,MATCH(D4,Products!$A$2:$A$11,0))</f>
        <v>3200</v>
      </c>
      <c r="G4" s="8" t="n">
        <v>0</v>
      </c>
      <c r="H4" s="9" t="n">
        <f aca="false">E4*F4*(1-G4)</f>
        <v>6400</v>
      </c>
      <c r="I4" s="2" t="s">
        <v>221</v>
      </c>
      <c r="J4" s="2" t="s">
        <v>222</v>
      </c>
    </row>
    <row r="5" customFormat="false" ht="15" hidden="false" customHeight="false" outlineLevel="0" collapsed="false">
      <c r="A5" s="2" t="s">
        <v>226</v>
      </c>
      <c r="B5" s="6" t="n">
        <v>45855</v>
      </c>
      <c r="C5" s="2" t="s">
        <v>54</v>
      </c>
      <c r="D5" s="2" t="s">
        <v>189</v>
      </c>
      <c r="E5" s="2" t="n">
        <v>5</v>
      </c>
      <c r="F5" s="7" t="n">
        <f aca="false">INDEX(Products!$D$2:$D$11,MATCH(D5,Products!$A$2:$A$11,0))</f>
        <v>55000</v>
      </c>
      <c r="G5" s="8" t="n">
        <v>0</v>
      </c>
      <c r="H5" s="9" t="n">
        <f aca="false">E5*F5*(1-G5)</f>
        <v>275000</v>
      </c>
      <c r="I5" s="2" t="s">
        <v>227</v>
      </c>
      <c r="J5" s="2" t="s">
        <v>228</v>
      </c>
    </row>
    <row r="6" customFormat="false" ht="15" hidden="false" customHeight="false" outlineLevel="0" collapsed="false">
      <c r="A6" s="2" t="s">
        <v>229</v>
      </c>
      <c r="B6" s="6" t="n">
        <v>45534</v>
      </c>
      <c r="C6" s="2" t="s">
        <v>68</v>
      </c>
      <c r="D6" s="2" t="s">
        <v>203</v>
      </c>
      <c r="E6" s="2" t="n">
        <v>4</v>
      </c>
      <c r="F6" s="7" t="n">
        <f aca="false">INDEX(Products!$D$2:$D$11,MATCH(D6,Products!$A$2:$A$11,0))</f>
        <v>28000</v>
      </c>
      <c r="G6" s="8" t="n">
        <v>0.1</v>
      </c>
      <c r="H6" s="9" t="n">
        <f aca="false">E6*F6*(1-G6)</f>
        <v>100800</v>
      </c>
      <c r="I6" s="2" t="s">
        <v>230</v>
      </c>
      <c r="J6" s="2" t="s">
        <v>228</v>
      </c>
    </row>
    <row r="7" customFormat="false" ht="15" hidden="false" customHeight="false" outlineLevel="0" collapsed="false">
      <c r="A7" s="2" t="s">
        <v>231</v>
      </c>
      <c r="B7" s="6" t="n">
        <v>45352</v>
      </c>
      <c r="C7" s="2" t="s">
        <v>68</v>
      </c>
      <c r="D7" s="2" t="s">
        <v>203</v>
      </c>
      <c r="E7" s="2" t="n">
        <v>1</v>
      </c>
      <c r="F7" s="7" t="n">
        <f aca="false">INDEX(Products!$D$2:$D$11,MATCH(D7,Products!$A$2:$A$11,0))</f>
        <v>28000</v>
      </c>
      <c r="G7" s="8" t="n">
        <v>0.1</v>
      </c>
      <c r="H7" s="9" t="n">
        <f aca="false">E7*F7*(1-G7)</f>
        <v>25200</v>
      </c>
      <c r="I7" s="2" t="s">
        <v>232</v>
      </c>
      <c r="J7" s="2" t="s">
        <v>228</v>
      </c>
    </row>
    <row r="8" customFormat="false" ht="15" hidden="false" customHeight="false" outlineLevel="0" collapsed="false">
      <c r="A8" s="2" t="s">
        <v>233</v>
      </c>
      <c r="B8" s="6" t="n">
        <v>45757</v>
      </c>
      <c r="C8" s="2" t="s">
        <v>96</v>
      </c>
      <c r="D8" s="2" t="s">
        <v>203</v>
      </c>
      <c r="E8" s="2" t="n">
        <v>5</v>
      </c>
      <c r="F8" s="7" t="n">
        <f aca="false">INDEX(Products!$D$2:$D$11,MATCH(D8,Products!$A$2:$A$11,0))</f>
        <v>28000</v>
      </c>
      <c r="G8" s="8" t="n">
        <v>0.1</v>
      </c>
      <c r="H8" s="9" t="n">
        <f aca="false">E8*F8*(1-G8)</f>
        <v>126000</v>
      </c>
      <c r="I8" s="2" t="s">
        <v>230</v>
      </c>
      <c r="J8" s="2" t="s">
        <v>224</v>
      </c>
    </row>
    <row r="9" customFormat="false" ht="15" hidden="false" customHeight="false" outlineLevel="0" collapsed="false">
      <c r="A9" s="2" t="s">
        <v>234</v>
      </c>
      <c r="B9" s="6" t="n">
        <v>45514</v>
      </c>
      <c r="C9" s="2" t="s">
        <v>41</v>
      </c>
      <c r="D9" s="2" t="s">
        <v>210</v>
      </c>
      <c r="E9" s="2" t="n">
        <v>5</v>
      </c>
      <c r="F9" s="7" t="n">
        <f aca="false">INDEX(Products!$D$2:$D$11,MATCH(D9,Products!$A$2:$A$11,0))</f>
        <v>3500</v>
      </c>
      <c r="G9" s="8" t="n">
        <v>0</v>
      </c>
      <c r="H9" s="9" t="n">
        <f aca="false">E9*F9*(1-G9)</f>
        <v>17500</v>
      </c>
      <c r="I9" s="2" t="s">
        <v>232</v>
      </c>
      <c r="J9" s="2" t="s">
        <v>224</v>
      </c>
    </row>
    <row r="10" customFormat="false" ht="15" hidden="false" customHeight="false" outlineLevel="0" collapsed="false">
      <c r="A10" s="2" t="s">
        <v>235</v>
      </c>
      <c r="B10" s="6" t="n">
        <v>45890</v>
      </c>
      <c r="C10" s="2" t="s">
        <v>133</v>
      </c>
      <c r="D10" s="2" t="s">
        <v>207</v>
      </c>
      <c r="E10" s="2" t="n">
        <v>5</v>
      </c>
      <c r="F10" s="7" t="n">
        <f aca="false">INDEX(Products!$D$2:$D$11,MATCH(D10,Products!$A$2:$A$11,0))</f>
        <v>9500</v>
      </c>
      <c r="G10" s="8" t="n">
        <v>0</v>
      </c>
      <c r="H10" s="9" t="n">
        <f aca="false">E10*F10*(1-G10)</f>
        <v>47500</v>
      </c>
      <c r="I10" s="2" t="s">
        <v>227</v>
      </c>
      <c r="J10" s="2" t="s">
        <v>236</v>
      </c>
    </row>
    <row r="11" customFormat="false" ht="15" hidden="false" customHeight="false" outlineLevel="0" collapsed="false">
      <c r="A11" s="2" t="s">
        <v>237</v>
      </c>
      <c r="B11" s="6" t="n">
        <v>45374</v>
      </c>
      <c r="C11" s="2" t="s">
        <v>71</v>
      </c>
      <c r="D11" s="2" t="s">
        <v>192</v>
      </c>
      <c r="E11" s="2" t="n">
        <v>5</v>
      </c>
      <c r="F11" s="7" t="n">
        <f aca="false">INDEX(Products!$D$2:$D$11,MATCH(D11,Products!$A$2:$A$11,0))</f>
        <v>22000</v>
      </c>
      <c r="G11" s="8" t="n">
        <v>0</v>
      </c>
      <c r="H11" s="9" t="n">
        <f aca="false">E11*F11*(1-G11)</f>
        <v>110000</v>
      </c>
      <c r="I11" s="2" t="s">
        <v>230</v>
      </c>
      <c r="J11" s="2" t="s">
        <v>224</v>
      </c>
    </row>
    <row r="12" customFormat="false" ht="15" hidden="false" customHeight="false" outlineLevel="0" collapsed="false">
      <c r="A12" s="2" t="s">
        <v>238</v>
      </c>
      <c r="B12" s="6" t="n">
        <v>45875</v>
      </c>
      <c r="C12" s="2" t="s">
        <v>85</v>
      </c>
      <c r="D12" s="2" t="s">
        <v>210</v>
      </c>
      <c r="E12" s="2" t="n">
        <v>5</v>
      </c>
      <c r="F12" s="7" t="n">
        <f aca="false">INDEX(Products!$D$2:$D$11,MATCH(D12,Products!$A$2:$A$11,0))</f>
        <v>3500</v>
      </c>
      <c r="G12" s="8" t="n">
        <v>0</v>
      </c>
      <c r="H12" s="9" t="n">
        <f aca="false">E12*F12*(1-G12)</f>
        <v>17500</v>
      </c>
      <c r="I12" s="2" t="s">
        <v>239</v>
      </c>
      <c r="J12" s="2" t="s">
        <v>224</v>
      </c>
    </row>
    <row r="13" customFormat="false" ht="15" hidden="false" customHeight="false" outlineLevel="0" collapsed="false">
      <c r="A13" s="2" t="s">
        <v>240</v>
      </c>
      <c r="B13" s="6" t="n">
        <v>45889</v>
      </c>
      <c r="C13" s="2" t="s">
        <v>150</v>
      </c>
      <c r="D13" s="2" t="s">
        <v>207</v>
      </c>
      <c r="E13" s="2" t="n">
        <v>3</v>
      </c>
      <c r="F13" s="7" t="n">
        <f aca="false">INDEX(Products!$D$2:$D$11,MATCH(D13,Products!$A$2:$A$11,0))</f>
        <v>9500</v>
      </c>
      <c r="G13" s="8" t="n">
        <v>0.05</v>
      </c>
      <c r="H13" s="9" t="n">
        <f aca="false">E13*F13*(1-G13)</f>
        <v>27075</v>
      </c>
      <c r="I13" s="2" t="s">
        <v>230</v>
      </c>
      <c r="J13" s="2" t="s">
        <v>224</v>
      </c>
    </row>
    <row r="14" customFormat="false" ht="15" hidden="false" customHeight="false" outlineLevel="0" collapsed="false">
      <c r="A14" s="2" t="s">
        <v>241</v>
      </c>
      <c r="B14" s="6" t="n">
        <v>45613</v>
      </c>
      <c r="C14" s="2" t="s">
        <v>85</v>
      </c>
      <c r="D14" s="2" t="s">
        <v>199</v>
      </c>
      <c r="E14" s="2" t="n">
        <v>4</v>
      </c>
      <c r="F14" s="7" t="n">
        <f aca="false">INDEX(Products!$D$2:$D$11,MATCH(D14,Products!$A$2:$A$11,0))</f>
        <v>1500</v>
      </c>
      <c r="G14" s="8" t="n">
        <v>0</v>
      </c>
      <c r="H14" s="9" t="n">
        <f aca="false">E14*F14*(1-G14)</f>
        <v>6000</v>
      </c>
      <c r="I14" s="2" t="s">
        <v>232</v>
      </c>
      <c r="J14" s="2" t="s">
        <v>224</v>
      </c>
    </row>
    <row r="15" customFormat="false" ht="15" hidden="false" customHeight="false" outlineLevel="0" collapsed="false">
      <c r="A15" s="2" t="s">
        <v>242</v>
      </c>
      <c r="B15" s="6" t="n">
        <v>45366</v>
      </c>
      <c r="C15" s="2" t="s">
        <v>27</v>
      </c>
      <c r="D15" s="2" t="s">
        <v>205</v>
      </c>
      <c r="E15" s="2" t="n">
        <v>5</v>
      </c>
      <c r="F15" s="7" t="n">
        <f aca="false">INDEX(Products!$D$2:$D$11,MATCH(D15,Products!$A$2:$A$11,0))</f>
        <v>3200</v>
      </c>
      <c r="G15" s="8" t="n">
        <v>0.15</v>
      </c>
      <c r="H15" s="9" t="n">
        <f aca="false">E15*F15*(1-G15)</f>
        <v>13600</v>
      </c>
      <c r="I15" s="2" t="s">
        <v>227</v>
      </c>
      <c r="J15" s="2" t="s">
        <v>224</v>
      </c>
    </row>
    <row r="16" customFormat="false" ht="15" hidden="false" customHeight="false" outlineLevel="0" collapsed="false">
      <c r="A16" s="2" t="s">
        <v>243</v>
      </c>
      <c r="B16" s="6" t="n">
        <v>45510</v>
      </c>
      <c r="C16" s="2" t="s">
        <v>139</v>
      </c>
      <c r="D16" s="2" t="s">
        <v>199</v>
      </c>
      <c r="E16" s="2" t="n">
        <v>2</v>
      </c>
      <c r="F16" s="7" t="n">
        <f aca="false">INDEX(Products!$D$2:$D$11,MATCH(D16,Products!$A$2:$A$11,0))</f>
        <v>1500</v>
      </c>
      <c r="G16" s="8" t="n">
        <v>0.05</v>
      </c>
      <c r="H16" s="9" t="n">
        <f aca="false">E16*F16*(1-G16)</f>
        <v>2850</v>
      </c>
      <c r="I16" s="2" t="s">
        <v>227</v>
      </c>
      <c r="J16" s="2" t="s">
        <v>228</v>
      </c>
    </row>
    <row r="17" customFormat="false" ht="15" hidden="false" customHeight="false" outlineLevel="0" collapsed="false">
      <c r="A17" s="2" t="s">
        <v>244</v>
      </c>
      <c r="B17" s="6" t="n">
        <v>45670</v>
      </c>
      <c r="C17" s="2" t="s">
        <v>96</v>
      </c>
      <c r="D17" s="2" t="s">
        <v>194</v>
      </c>
      <c r="E17" s="2" t="n">
        <v>4</v>
      </c>
      <c r="F17" s="7" t="n">
        <f aca="false">INDEX(Products!$D$2:$D$11,MATCH(D17,Products!$A$2:$A$11,0))</f>
        <v>2500</v>
      </c>
      <c r="G17" s="8" t="n">
        <v>0.15</v>
      </c>
      <c r="H17" s="9" t="n">
        <f aca="false">E17*F17*(1-G17)</f>
        <v>8500</v>
      </c>
      <c r="I17" s="2" t="s">
        <v>232</v>
      </c>
      <c r="J17" s="2" t="s">
        <v>224</v>
      </c>
    </row>
    <row r="18" customFormat="false" ht="15" hidden="false" customHeight="false" outlineLevel="0" collapsed="false">
      <c r="A18" s="2" t="s">
        <v>245</v>
      </c>
      <c r="B18" s="6" t="n">
        <v>45833</v>
      </c>
      <c r="C18" s="2" t="s">
        <v>27</v>
      </c>
      <c r="D18" s="2" t="s">
        <v>207</v>
      </c>
      <c r="E18" s="2" t="n">
        <v>3</v>
      </c>
      <c r="F18" s="7" t="n">
        <f aca="false">INDEX(Products!$D$2:$D$11,MATCH(D18,Products!$A$2:$A$11,0))</f>
        <v>9500</v>
      </c>
      <c r="G18" s="8" t="n">
        <v>0</v>
      </c>
      <c r="H18" s="9" t="n">
        <f aca="false">E18*F18*(1-G18)</f>
        <v>28500</v>
      </c>
      <c r="I18" s="2" t="s">
        <v>230</v>
      </c>
      <c r="J18" s="2" t="s">
        <v>224</v>
      </c>
    </row>
    <row r="19" customFormat="false" ht="15" hidden="false" customHeight="false" outlineLevel="0" collapsed="false">
      <c r="A19" s="2" t="s">
        <v>246</v>
      </c>
      <c r="B19" s="6" t="n">
        <v>45401</v>
      </c>
      <c r="C19" s="2" t="s">
        <v>177</v>
      </c>
      <c r="D19" s="2" t="s">
        <v>207</v>
      </c>
      <c r="E19" s="2" t="n">
        <v>2</v>
      </c>
      <c r="F19" s="7" t="n">
        <f aca="false">INDEX(Products!$D$2:$D$11,MATCH(D19,Products!$A$2:$A$11,0))</f>
        <v>9500</v>
      </c>
      <c r="G19" s="8" t="n">
        <v>0.05</v>
      </c>
      <c r="H19" s="9" t="n">
        <f aca="false">E19*F19*(1-G19)</f>
        <v>18050</v>
      </c>
      <c r="I19" s="2" t="s">
        <v>232</v>
      </c>
      <c r="J19" s="2" t="s">
        <v>224</v>
      </c>
    </row>
    <row r="20" customFormat="false" ht="15" hidden="false" customHeight="false" outlineLevel="0" collapsed="false">
      <c r="A20" s="2" t="s">
        <v>247</v>
      </c>
      <c r="B20" s="6" t="n">
        <v>45643</v>
      </c>
      <c r="C20" s="2" t="s">
        <v>77</v>
      </c>
      <c r="D20" s="2" t="s">
        <v>199</v>
      </c>
      <c r="E20" s="2" t="n">
        <v>5</v>
      </c>
      <c r="F20" s="7" t="n">
        <f aca="false">INDEX(Products!$D$2:$D$11,MATCH(D20,Products!$A$2:$A$11,0))</f>
        <v>1500</v>
      </c>
      <c r="G20" s="8" t="n">
        <v>0.1</v>
      </c>
      <c r="H20" s="9" t="n">
        <f aca="false">E20*F20*(1-G20)</f>
        <v>6750</v>
      </c>
      <c r="I20" s="2" t="s">
        <v>232</v>
      </c>
      <c r="J20" s="2" t="s">
        <v>228</v>
      </c>
    </row>
    <row r="21" customFormat="false" ht="15" hidden="false" customHeight="false" outlineLevel="0" collapsed="false">
      <c r="A21" s="2" t="s">
        <v>248</v>
      </c>
      <c r="B21" s="6" t="n">
        <v>45344</v>
      </c>
      <c r="C21" s="2" t="s">
        <v>49</v>
      </c>
      <c r="D21" s="2" t="s">
        <v>203</v>
      </c>
      <c r="E21" s="2" t="n">
        <v>3</v>
      </c>
      <c r="F21" s="7" t="n">
        <f aca="false">INDEX(Products!$D$2:$D$11,MATCH(D21,Products!$A$2:$A$11,0))</f>
        <v>28000</v>
      </c>
      <c r="G21" s="8" t="n">
        <v>0</v>
      </c>
      <c r="H21" s="9" t="n">
        <f aca="false">E21*F21*(1-G21)</f>
        <v>84000</v>
      </c>
      <c r="I21" s="2" t="s">
        <v>227</v>
      </c>
      <c r="J21" s="2" t="s">
        <v>224</v>
      </c>
    </row>
    <row r="22" customFormat="false" ht="15" hidden="false" customHeight="false" outlineLevel="0" collapsed="false">
      <c r="A22" s="2" t="s">
        <v>249</v>
      </c>
      <c r="B22" s="6" t="n">
        <v>45425</v>
      </c>
      <c r="C22" s="2" t="s">
        <v>159</v>
      </c>
      <c r="D22" s="2" t="s">
        <v>199</v>
      </c>
      <c r="E22" s="2" t="n">
        <v>2</v>
      </c>
      <c r="F22" s="7" t="n">
        <f aca="false">INDEX(Products!$D$2:$D$11,MATCH(D22,Products!$A$2:$A$11,0))</f>
        <v>1500</v>
      </c>
      <c r="G22" s="8" t="n">
        <v>0.1</v>
      </c>
      <c r="H22" s="9" t="n">
        <f aca="false">E22*F22*(1-G22)</f>
        <v>2700</v>
      </c>
      <c r="I22" s="2" t="s">
        <v>239</v>
      </c>
      <c r="J22" s="2" t="s">
        <v>222</v>
      </c>
    </row>
    <row r="23" customFormat="false" ht="15" hidden="false" customHeight="false" outlineLevel="0" collapsed="false">
      <c r="A23" s="2" t="s">
        <v>250</v>
      </c>
      <c r="B23" s="6" t="n">
        <v>45866</v>
      </c>
      <c r="C23" s="2" t="s">
        <v>27</v>
      </c>
      <c r="D23" s="2" t="s">
        <v>192</v>
      </c>
      <c r="E23" s="2" t="n">
        <v>1</v>
      </c>
      <c r="F23" s="7" t="n">
        <f aca="false">INDEX(Products!$D$2:$D$11,MATCH(D23,Products!$A$2:$A$11,0))</f>
        <v>22000</v>
      </c>
      <c r="G23" s="8" t="n">
        <v>0</v>
      </c>
      <c r="H23" s="9" t="n">
        <f aca="false">E23*F23*(1-G23)</f>
        <v>22000</v>
      </c>
      <c r="I23" s="2" t="s">
        <v>239</v>
      </c>
      <c r="J23" s="2" t="s">
        <v>224</v>
      </c>
    </row>
    <row r="24" customFormat="false" ht="15" hidden="false" customHeight="false" outlineLevel="0" collapsed="false">
      <c r="A24" s="2" t="s">
        <v>251</v>
      </c>
      <c r="B24" s="6" t="n">
        <v>45670</v>
      </c>
      <c r="C24" s="2" t="s">
        <v>153</v>
      </c>
      <c r="D24" s="2" t="s">
        <v>207</v>
      </c>
      <c r="E24" s="2" t="n">
        <v>2</v>
      </c>
      <c r="F24" s="7" t="n">
        <f aca="false">INDEX(Products!$D$2:$D$11,MATCH(D24,Products!$A$2:$A$11,0))</f>
        <v>9500</v>
      </c>
      <c r="G24" s="8" t="n">
        <v>0.1</v>
      </c>
      <c r="H24" s="9" t="n">
        <f aca="false">E24*F24*(1-G24)</f>
        <v>17100</v>
      </c>
      <c r="I24" s="2" t="s">
        <v>230</v>
      </c>
      <c r="J24" s="2" t="s">
        <v>224</v>
      </c>
    </row>
    <row r="25" customFormat="false" ht="15" hidden="false" customHeight="false" outlineLevel="0" collapsed="false">
      <c r="A25" s="2" t="s">
        <v>252</v>
      </c>
      <c r="B25" s="6" t="n">
        <v>45665</v>
      </c>
      <c r="C25" s="2" t="s">
        <v>38</v>
      </c>
      <c r="D25" s="2" t="s">
        <v>201</v>
      </c>
      <c r="E25" s="2" t="n">
        <v>2</v>
      </c>
      <c r="F25" s="7" t="n">
        <f aca="false">INDEX(Products!$D$2:$D$11,MATCH(D25,Products!$A$2:$A$11,0))</f>
        <v>800</v>
      </c>
      <c r="G25" s="8" t="n">
        <v>0</v>
      </c>
      <c r="H25" s="9" t="n">
        <f aca="false">E25*F25*(1-G25)</f>
        <v>1600</v>
      </c>
      <c r="I25" s="2" t="s">
        <v>227</v>
      </c>
      <c r="J25" s="2" t="s">
        <v>224</v>
      </c>
    </row>
    <row r="26" customFormat="false" ht="15" hidden="false" customHeight="false" outlineLevel="0" collapsed="false">
      <c r="A26" s="2" t="s">
        <v>253</v>
      </c>
      <c r="B26" s="6" t="n">
        <v>45865</v>
      </c>
      <c r="C26" s="2" t="s">
        <v>121</v>
      </c>
      <c r="D26" s="2" t="s">
        <v>210</v>
      </c>
      <c r="E26" s="2" t="n">
        <v>2</v>
      </c>
      <c r="F26" s="7" t="n">
        <f aca="false">INDEX(Products!$D$2:$D$11,MATCH(D26,Products!$A$2:$A$11,0))</f>
        <v>3500</v>
      </c>
      <c r="G26" s="8" t="n">
        <v>0</v>
      </c>
      <c r="H26" s="9" t="n">
        <f aca="false">E26*F26*(1-G26)</f>
        <v>7000</v>
      </c>
      <c r="I26" s="2" t="s">
        <v>230</v>
      </c>
      <c r="J26" s="2" t="s">
        <v>236</v>
      </c>
    </row>
    <row r="27" customFormat="false" ht="15" hidden="false" customHeight="false" outlineLevel="0" collapsed="false">
      <c r="A27" s="2" t="s">
        <v>254</v>
      </c>
      <c r="B27" s="6" t="n">
        <v>45473</v>
      </c>
      <c r="C27" s="2" t="s">
        <v>121</v>
      </c>
      <c r="D27" s="2" t="s">
        <v>189</v>
      </c>
      <c r="E27" s="2" t="n">
        <v>2</v>
      </c>
      <c r="F27" s="7" t="n">
        <f aca="false">INDEX(Products!$D$2:$D$11,MATCH(D27,Products!$A$2:$A$11,0))</f>
        <v>55000</v>
      </c>
      <c r="G27" s="8" t="n">
        <v>0.05</v>
      </c>
      <c r="H27" s="9" t="n">
        <f aca="false">E27*F27*(1-G27)</f>
        <v>104500</v>
      </c>
      <c r="I27" s="2" t="s">
        <v>221</v>
      </c>
      <c r="J27" s="2" t="s">
        <v>222</v>
      </c>
    </row>
    <row r="28" customFormat="false" ht="15" hidden="false" customHeight="false" outlineLevel="0" collapsed="false">
      <c r="A28" s="2" t="s">
        <v>255</v>
      </c>
      <c r="B28" s="6" t="n">
        <v>45546</v>
      </c>
      <c r="C28" s="2" t="s">
        <v>93</v>
      </c>
      <c r="D28" s="2" t="s">
        <v>194</v>
      </c>
      <c r="E28" s="2" t="n">
        <v>1</v>
      </c>
      <c r="F28" s="7" t="n">
        <f aca="false">INDEX(Products!$D$2:$D$11,MATCH(D28,Products!$A$2:$A$11,0))</f>
        <v>2500</v>
      </c>
      <c r="G28" s="8" t="n">
        <v>0.1</v>
      </c>
      <c r="H28" s="9" t="n">
        <f aca="false">E28*F28*(1-G28)</f>
        <v>2250</v>
      </c>
      <c r="I28" s="2" t="s">
        <v>227</v>
      </c>
      <c r="J28" s="2" t="s">
        <v>228</v>
      </c>
    </row>
    <row r="29" customFormat="false" ht="15" hidden="false" customHeight="false" outlineLevel="0" collapsed="false">
      <c r="A29" s="2" t="s">
        <v>256</v>
      </c>
      <c r="B29" s="6" t="n">
        <v>45519</v>
      </c>
      <c r="C29" s="2" t="s">
        <v>74</v>
      </c>
      <c r="D29" s="2" t="s">
        <v>205</v>
      </c>
      <c r="E29" s="2" t="n">
        <v>3</v>
      </c>
      <c r="F29" s="7" t="n">
        <f aca="false">INDEX(Products!$D$2:$D$11,MATCH(D29,Products!$A$2:$A$11,0))</f>
        <v>3200</v>
      </c>
      <c r="G29" s="8" t="n">
        <v>0.05</v>
      </c>
      <c r="H29" s="9" t="n">
        <f aca="false">E29*F29*(1-G29)</f>
        <v>9120</v>
      </c>
      <c r="I29" s="2" t="s">
        <v>230</v>
      </c>
      <c r="J29" s="2" t="s">
        <v>224</v>
      </c>
    </row>
    <row r="30" customFormat="false" ht="15" hidden="false" customHeight="false" outlineLevel="0" collapsed="false">
      <c r="A30" s="2" t="s">
        <v>257</v>
      </c>
      <c r="B30" s="6" t="n">
        <v>45489</v>
      </c>
      <c r="C30" s="2" t="s">
        <v>118</v>
      </c>
      <c r="D30" s="2" t="s">
        <v>201</v>
      </c>
      <c r="E30" s="2" t="n">
        <v>3</v>
      </c>
      <c r="F30" s="7" t="n">
        <f aca="false">INDEX(Products!$D$2:$D$11,MATCH(D30,Products!$A$2:$A$11,0))</f>
        <v>800</v>
      </c>
      <c r="G30" s="8" t="n">
        <v>0</v>
      </c>
      <c r="H30" s="9" t="n">
        <f aca="false">E30*F30*(1-G30)</f>
        <v>2400</v>
      </c>
      <c r="I30" s="2" t="s">
        <v>232</v>
      </c>
      <c r="J30" s="2" t="s">
        <v>224</v>
      </c>
    </row>
    <row r="31" customFormat="false" ht="15" hidden="false" customHeight="false" outlineLevel="0" collapsed="false">
      <c r="A31" s="2" t="s">
        <v>258</v>
      </c>
      <c r="B31" s="6" t="n">
        <v>45813</v>
      </c>
      <c r="C31" s="2" t="s">
        <v>118</v>
      </c>
      <c r="D31" s="2" t="s">
        <v>207</v>
      </c>
      <c r="E31" s="2" t="n">
        <v>3</v>
      </c>
      <c r="F31" s="7" t="n">
        <f aca="false">INDEX(Products!$D$2:$D$11,MATCH(D31,Products!$A$2:$A$11,0))</f>
        <v>9500</v>
      </c>
      <c r="G31" s="8" t="n">
        <v>0</v>
      </c>
      <c r="H31" s="9" t="n">
        <f aca="false">E31*F31*(1-G31)</f>
        <v>28500</v>
      </c>
      <c r="I31" s="2" t="s">
        <v>227</v>
      </c>
      <c r="J31" s="2" t="s">
        <v>228</v>
      </c>
    </row>
    <row r="32" customFormat="false" ht="15" hidden="false" customHeight="false" outlineLevel="0" collapsed="false">
      <c r="A32" s="2" t="s">
        <v>259</v>
      </c>
      <c r="B32" s="6" t="n">
        <v>45559</v>
      </c>
      <c r="C32" s="2" t="s">
        <v>71</v>
      </c>
      <c r="D32" s="2" t="s">
        <v>210</v>
      </c>
      <c r="E32" s="2" t="n">
        <v>3</v>
      </c>
      <c r="F32" s="7" t="n">
        <f aca="false">INDEX(Products!$D$2:$D$11,MATCH(D32,Products!$A$2:$A$11,0))</f>
        <v>3500</v>
      </c>
      <c r="G32" s="8" t="n">
        <v>0</v>
      </c>
      <c r="H32" s="9" t="n">
        <f aca="false">E32*F32*(1-G32)</f>
        <v>10500</v>
      </c>
      <c r="I32" s="2" t="s">
        <v>227</v>
      </c>
      <c r="J32" s="2" t="s">
        <v>224</v>
      </c>
    </row>
    <row r="33" customFormat="false" ht="15" hidden="false" customHeight="false" outlineLevel="0" collapsed="false">
      <c r="A33" s="2" t="s">
        <v>260</v>
      </c>
      <c r="B33" s="6" t="n">
        <v>45645</v>
      </c>
      <c r="C33" s="2" t="s">
        <v>175</v>
      </c>
      <c r="D33" s="2" t="s">
        <v>201</v>
      </c>
      <c r="E33" s="2" t="n">
        <v>4</v>
      </c>
      <c r="F33" s="7" t="n">
        <f aca="false">INDEX(Products!$D$2:$D$11,MATCH(D33,Products!$A$2:$A$11,0))</f>
        <v>800</v>
      </c>
      <c r="G33" s="8" t="n">
        <v>0.15</v>
      </c>
      <c r="H33" s="9" t="n">
        <f aca="false">E33*F33*(1-G33)</f>
        <v>2720</v>
      </c>
      <c r="I33" s="2" t="s">
        <v>239</v>
      </c>
      <c r="J33" s="2" t="s">
        <v>224</v>
      </c>
    </row>
    <row r="34" customFormat="false" ht="15" hidden="false" customHeight="false" outlineLevel="0" collapsed="false">
      <c r="A34" s="2" t="s">
        <v>261</v>
      </c>
      <c r="B34" s="6" t="n">
        <v>45882</v>
      </c>
      <c r="C34" s="2" t="s">
        <v>74</v>
      </c>
      <c r="D34" s="2" t="s">
        <v>199</v>
      </c>
      <c r="E34" s="2" t="n">
        <v>1</v>
      </c>
      <c r="F34" s="7" t="n">
        <f aca="false">INDEX(Products!$D$2:$D$11,MATCH(D34,Products!$A$2:$A$11,0))</f>
        <v>1500</v>
      </c>
      <c r="G34" s="8" t="n">
        <v>0.1</v>
      </c>
      <c r="H34" s="9" t="n">
        <f aca="false">E34*F34*(1-G34)</f>
        <v>1350</v>
      </c>
      <c r="I34" s="2" t="s">
        <v>227</v>
      </c>
      <c r="J34" s="2" t="s">
        <v>224</v>
      </c>
    </row>
    <row r="35" customFormat="false" ht="15" hidden="false" customHeight="false" outlineLevel="0" collapsed="false">
      <c r="A35" s="2" t="s">
        <v>262</v>
      </c>
      <c r="B35" s="6" t="n">
        <v>45843</v>
      </c>
      <c r="C35" s="2" t="s">
        <v>168</v>
      </c>
      <c r="D35" s="2" t="s">
        <v>197</v>
      </c>
      <c r="E35" s="2" t="n">
        <v>3</v>
      </c>
      <c r="F35" s="7" t="n">
        <f aca="false">INDEX(Products!$D$2:$D$11,MATCH(D35,Products!$A$2:$A$11,0))</f>
        <v>12000</v>
      </c>
      <c r="G35" s="8" t="n">
        <v>0.1</v>
      </c>
      <c r="H35" s="9" t="n">
        <f aca="false">E35*F35*(1-G35)</f>
        <v>32400</v>
      </c>
      <c r="I35" s="2" t="s">
        <v>227</v>
      </c>
      <c r="J35" s="2" t="s">
        <v>228</v>
      </c>
    </row>
    <row r="36" customFormat="false" ht="15" hidden="false" customHeight="false" outlineLevel="0" collapsed="false">
      <c r="A36" s="2" t="s">
        <v>263</v>
      </c>
      <c r="B36" s="6" t="n">
        <v>45630</v>
      </c>
      <c r="C36" s="2" t="s">
        <v>157</v>
      </c>
      <c r="D36" s="2" t="s">
        <v>201</v>
      </c>
      <c r="E36" s="2" t="n">
        <v>1</v>
      </c>
      <c r="F36" s="7" t="n">
        <f aca="false">INDEX(Products!$D$2:$D$11,MATCH(D36,Products!$A$2:$A$11,0))</f>
        <v>800</v>
      </c>
      <c r="G36" s="8" t="n">
        <v>0.05</v>
      </c>
      <c r="H36" s="9" t="n">
        <f aca="false">E36*F36*(1-G36)</f>
        <v>760</v>
      </c>
      <c r="I36" s="2" t="s">
        <v>239</v>
      </c>
      <c r="J36" s="2" t="s">
        <v>224</v>
      </c>
    </row>
    <row r="37" customFormat="false" ht="15" hidden="false" customHeight="false" outlineLevel="0" collapsed="false">
      <c r="A37" s="2" t="s">
        <v>264</v>
      </c>
      <c r="B37" s="6" t="n">
        <v>45710</v>
      </c>
      <c r="C37" s="2" t="s">
        <v>101</v>
      </c>
      <c r="D37" s="2" t="s">
        <v>203</v>
      </c>
      <c r="E37" s="2" t="n">
        <v>3</v>
      </c>
      <c r="F37" s="7" t="n">
        <f aca="false">INDEX(Products!$D$2:$D$11,MATCH(D37,Products!$A$2:$A$11,0))</f>
        <v>28000</v>
      </c>
      <c r="G37" s="8" t="n">
        <v>0.15</v>
      </c>
      <c r="H37" s="9" t="n">
        <f aca="false">E37*F37*(1-G37)</f>
        <v>71400</v>
      </c>
      <c r="I37" s="2" t="s">
        <v>230</v>
      </c>
      <c r="J37" s="2" t="s">
        <v>224</v>
      </c>
    </row>
    <row r="38" customFormat="false" ht="15" hidden="false" customHeight="false" outlineLevel="0" collapsed="false">
      <c r="A38" s="2" t="s">
        <v>265</v>
      </c>
      <c r="B38" s="6" t="n">
        <v>45680</v>
      </c>
      <c r="C38" s="2" t="s">
        <v>168</v>
      </c>
      <c r="D38" s="2" t="s">
        <v>194</v>
      </c>
      <c r="E38" s="2" t="n">
        <v>5</v>
      </c>
      <c r="F38" s="7" t="n">
        <f aca="false">INDEX(Products!$D$2:$D$11,MATCH(D38,Products!$A$2:$A$11,0))</f>
        <v>2500</v>
      </c>
      <c r="G38" s="8" t="n">
        <v>0.15</v>
      </c>
      <c r="H38" s="9" t="n">
        <f aca="false">E38*F38*(1-G38)</f>
        <v>10625</v>
      </c>
      <c r="I38" s="2" t="s">
        <v>232</v>
      </c>
      <c r="J38" s="2" t="s">
        <v>224</v>
      </c>
    </row>
    <row r="39" customFormat="false" ht="15" hidden="false" customHeight="false" outlineLevel="0" collapsed="false">
      <c r="A39" s="2" t="s">
        <v>266</v>
      </c>
      <c r="B39" s="6" t="n">
        <v>45292</v>
      </c>
      <c r="C39" s="2" t="s">
        <v>99</v>
      </c>
      <c r="D39" s="2" t="s">
        <v>199</v>
      </c>
      <c r="E39" s="2" t="n">
        <v>2</v>
      </c>
      <c r="F39" s="7" t="n">
        <f aca="false">INDEX(Products!$D$2:$D$11,MATCH(D39,Products!$A$2:$A$11,0))</f>
        <v>1500</v>
      </c>
      <c r="G39" s="8" t="n">
        <v>0.1</v>
      </c>
      <c r="H39" s="9" t="n">
        <f aca="false">E39*F39*(1-G39)</f>
        <v>2700</v>
      </c>
      <c r="I39" s="2" t="s">
        <v>239</v>
      </c>
      <c r="J39" s="2" t="s">
        <v>224</v>
      </c>
    </row>
    <row r="40" customFormat="false" ht="15" hidden="false" customHeight="false" outlineLevel="0" collapsed="false">
      <c r="A40" s="2" t="s">
        <v>267</v>
      </c>
      <c r="B40" s="6" t="n">
        <v>45621</v>
      </c>
      <c r="C40" s="2" t="s">
        <v>130</v>
      </c>
      <c r="D40" s="2" t="s">
        <v>205</v>
      </c>
      <c r="E40" s="2" t="n">
        <v>4</v>
      </c>
      <c r="F40" s="7" t="n">
        <f aca="false">INDEX(Products!$D$2:$D$11,MATCH(D40,Products!$A$2:$A$11,0))</f>
        <v>3200</v>
      </c>
      <c r="G40" s="8" t="n">
        <v>0</v>
      </c>
      <c r="H40" s="9" t="n">
        <f aca="false">E40*F40*(1-G40)</f>
        <v>12800</v>
      </c>
      <c r="I40" s="2" t="s">
        <v>239</v>
      </c>
      <c r="J40" s="2" t="s">
        <v>224</v>
      </c>
    </row>
    <row r="41" customFormat="false" ht="15" hidden="false" customHeight="false" outlineLevel="0" collapsed="false">
      <c r="A41" s="2" t="s">
        <v>268</v>
      </c>
      <c r="B41" s="6" t="n">
        <v>45465</v>
      </c>
      <c r="C41" s="2" t="s">
        <v>165</v>
      </c>
      <c r="D41" s="2" t="s">
        <v>192</v>
      </c>
      <c r="E41" s="2" t="n">
        <v>3</v>
      </c>
      <c r="F41" s="7" t="n">
        <f aca="false">INDEX(Products!$D$2:$D$11,MATCH(D41,Products!$A$2:$A$11,0))</f>
        <v>22000</v>
      </c>
      <c r="G41" s="8" t="n">
        <v>0.15</v>
      </c>
      <c r="H41" s="9" t="n">
        <f aca="false">E41*F41*(1-G41)</f>
        <v>56100</v>
      </c>
      <c r="I41" s="2" t="s">
        <v>239</v>
      </c>
      <c r="J41" s="2" t="s">
        <v>224</v>
      </c>
    </row>
    <row r="42" customFormat="false" ht="15" hidden="false" customHeight="false" outlineLevel="0" collapsed="false">
      <c r="A42" s="2" t="s">
        <v>269</v>
      </c>
      <c r="B42" s="6" t="n">
        <v>45532</v>
      </c>
      <c r="C42" s="2" t="s">
        <v>168</v>
      </c>
      <c r="D42" s="2" t="s">
        <v>199</v>
      </c>
      <c r="E42" s="2" t="n">
        <v>2</v>
      </c>
      <c r="F42" s="7" t="n">
        <f aca="false">INDEX(Products!$D$2:$D$11,MATCH(D42,Products!$A$2:$A$11,0))</f>
        <v>1500</v>
      </c>
      <c r="G42" s="8" t="n">
        <v>0</v>
      </c>
      <c r="H42" s="9" t="n">
        <f aca="false">E42*F42*(1-G42)</f>
        <v>3000</v>
      </c>
      <c r="I42" s="2" t="s">
        <v>230</v>
      </c>
      <c r="J42" s="2" t="s">
        <v>224</v>
      </c>
    </row>
    <row r="43" customFormat="false" ht="15" hidden="false" customHeight="false" outlineLevel="0" collapsed="false">
      <c r="A43" s="2" t="s">
        <v>270</v>
      </c>
      <c r="B43" s="6" t="n">
        <v>45542</v>
      </c>
      <c r="C43" s="2" t="s">
        <v>133</v>
      </c>
      <c r="D43" s="2" t="s">
        <v>210</v>
      </c>
      <c r="E43" s="2" t="n">
        <v>1</v>
      </c>
      <c r="F43" s="7" t="n">
        <f aca="false">INDEX(Products!$D$2:$D$11,MATCH(D43,Products!$A$2:$A$11,0))</f>
        <v>3500</v>
      </c>
      <c r="G43" s="8" t="n">
        <v>0.1</v>
      </c>
      <c r="H43" s="9" t="n">
        <f aca="false">E43*F43*(1-G43)</f>
        <v>3150</v>
      </c>
      <c r="I43" s="2" t="s">
        <v>221</v>
      </c>
      <c r="J43" s="2" t="s">
        <v>228</v>
      </c>
    </row>
    <row r="44" customFormat="false" ht="15" hidden="false" customHeight="false" outlineLevel="0" collapsed="false">
      <c r="A44" s="2" t="s">
        <v>271</v>
      </c>
      <c r="B44" s="6" t="n">
        <v>45881</v>
      </c>
      <c r="C44" s="2" t="s">
        <v>74</v>
      </c>
      <c r="D44" s="2" t="s">
        <v>203</v>
      </c>
      <c r="E44" s="2" t="n">
        <v>4</v>
      </c>
      <c r="F44" s="7" t="n">
        <f aca="false">INDEX(Products!$D$2:$D$11,MATCH(D44,Products!$A$2:$A$11,0))</f>
        <v>28000</v>
      </c>
      <c r="G44" s="8" t="n">
        <v>0.1</v>
      </c>
      <c r="H44" s="9" t="n">
        <f aca="false">E44*F44*(1-G44)</f>
        <v>100800</v>
      </c>
      <c r="I44" s="2" t="s">
        <v>230</v>
      </c>
      <c r="J44" s="2" t="s">
        <v>224</v>
      </c>
    </row>
    <row r="45" customFormat="false" ht="15" hidden="false" customHeight="false" outlineLevel="0" collapsed="false">
      <c r="A45" s="2" t="s">
        <v>272</v>
      </c>
      <c r="B45" s="6" t="n">
        <v>45297</v>
      </c>
      <c r="C45" s="2" t="s">
        <v>180</v>
      </c>
      <c r="D45" s="2" t="s">
        <v>192</v>
      </c>
      <c r="E45" s="2" t="n">
        <v>4</v>
      </c>
      <c r="F45" s="7" t="n">
        <f aca="false">INDEX(Products!$D$2:$D$11,MATCH(D45,Products!$A$2:$A$11,0))</f>
        <v>22000</v>
      </c>
      <c r="G45" s="8" t="n">
        <v>0</v>
      </c>
      <c r="H45" s="9" t="n">
        <f aca="false">E45*F45*(1-G45)</f>
        <v>88000</v>
      </c>
      <c r="I45" s="2" t="s">
        <v>230</v>
      </c>
      <c r="J45" s="2" t="s">
        <v>222</v>
      </c>
    </row>
    <row r="46" customFormat="false" ht="15" hidden="false" customHeight="false" outlineLevel="0" collapsed="false">
      <c r="A46" s="2" t="s">
        <v>273</v>
      </c>
      <c r="B46" s="6" t="n">
        <v>45822</v>
      </c>
      <c r="C46" s="2" t="s">
        <v>130</v>
      </c>
      <c r="D46" s="2" t="s">
        <v>189</v>
      </c>
      <c r="E46" s="2" t="n">
        <v>5</v>
      </c>
      <c r="F46" s="7" t="n">
        <f aca="false">INDEX(Products!$D$2:$D$11,MATCH(D46,Products!$A$2:$A$11,0))</f>
        <v>55000</v>
      </c>
      <c r="G46" s="8" t="n">
        <v>0</v>
      </c>
      <c r="H46" s="9" t="n">
        <f aca="false">E46*F46*(1-G46)</f>
        <v>275000</v>
      </c>
      <c r="I46" s="2" t="s">
        <v>227</v>
      </c>
      <c r="J46" s="2" t="s">
        <v>224</v>
      </c>
    </row>
    <row r="47" customFormat="false" ht="15" hidden="false" customHeight="false" outlineLevel="0" collapsed="false">
      <c r="A47" s="2" t="s">
        <v>274</v>
      </c>
      <c r="B47" s="6" t="n">
        <v>45767</v>
      </c>
      <c r="C47" s="2" t="s">
        <v>165</v>
      </c>
      <c r="D47" s="2" t="s">
        <v>207</v>
      </c>
      <c r="E47" s="2" t="n">
        <v>5</v>
      </c>
      <c r="F47" s="7" t="n">
        <f aca="false">INDEX(Products!$D$2:$D$11,MATCH(D47,Products!$A$2:$A$11,0))</f>
        <v>9500</v>
      </c>
      <c r="G47" s="8" t="n">
        <v>0.15</v>
      </c>
      <c r="H47" s="9" t="n">
        <f aca="false">E47*F47*(1-G47)</f>
        <v>40375</v>
      </c>
      <c r="I47" s="2" t="s">
        <v>232</v>
      </c>
      <c r="J47" s="2" t="s">
        <v>236</v>
      </c>
    </row>
    <row r="48" customFormat="false" ht="15" hidden="false" customHeight="false" outlineLevel="0" collapsed="false">
      <c r="A48" s="2" t="s">
        <v>275</v>
      </c>
      <c r="B48" s="6" t="n">
        <v>45745</v>
      </c>
      <c r="C48" s="2" t="s">
        <v>157</v>
      </c>
      <c r="D48" s="2" t="s">
        <v>207</v>
      </c>
      <c r="E48" s="2" t="n">
        <v>4</v>
      </c>
      <c r="F48" s="7" t="n">
        <f aca="false">INDEX(Products!$D$2:$D$11,MATCH(D48,Products!$A$2:$A$11,0))</f>
        <v>9500</v>
      </c>
      <c r="G48" s="8" t="n">
        <v>0.15</v>
      </c>
      <c r="H48" s="9" t="n">
        <f aca="false">E48*F48*(1-G48)</f>
        <v>32300</v>
      </c>
      <c r="I48" s="2" t="s">
        <v>221</v>
      </c>
      <c r="J48" s="2" t="s">
        <v>228</v>
      </c>
    </row>
    <row r="49" customFormat="false" ht="15" hidden="false" customHeight="false" outlineLevel="0" collapsed="false">
      <c r="A49" s="2" t="s">
        <v>276</v>
      </c>
      <c r="B49" s="6" t="n">
        <v>45778</v>
      </c>
      <c r="C49" s="2" t="s">
        <v>127</v>
      </c>
      <c r="D49" s="2" t="s">
        <v>199</v>
      </c>
      <c r="E49" s="2" t="n">
        <v>2</v>
      </c>
      <c r="F49" s="7" t="n">
        <f aca="false">INDEX(Products!$D$2:$D$11,MATCH(D49,Products!$A$2:$A$11,0))</f>
        <v>1500</v>
      </c>
      <c r="G49" s="8" t="n">
        <v>0.05</v>
      </c>
      <c r="H49" s="9" t="n">
        <f aca="false">E49*F49*(1-G49)</f>
        <v>2850</v>
      </c>
      <c r="I49" s="2" t="s">
        <v>239</v>
      </c>
      <c r="J49" s="2" t="s">
        <v>224</v>
      </c>
    </row>
    <row r="50" customFormat="false" ht="15" hidden="false" customHeight="false" outlineLevel="0" collapsed="false">
      <c r="A50" s="2" t="s">
        <v>277</v>
      </c>
      <c r="B50" s="6" t="n">
        <v>45536</v>
      </c>
      <c r="C50" s="2" t="s">
        <v>93</v>
      </c>
      <c r="D50" s="2" t="s">
        <v>205</v>
      </c>
      <c r="E50" s="2" t="n">
        <v>1</v>
      </c>
      <c r="F50" s="7" t="n">
        <f aca="false">INDEX(Products!$D$2:$D$11,MATCH(D50,Products!$A$2:$A$11,0))</f>
        <v>3200</v>
      </c>
      <c r="G50" s="8" t="n">
        <v>0.05</v>
      </c>
      <c r="H50" s="9" t="n">
        <f aca="false">E50*F50*(1-G50)</f>
        <v>3040</v>
      </c>
      <c r="I50" s="2" t="s">
        <v>230</v>
      </c>
      <c r="J50" s="2" t="s">
        <v>224</v>
      </c>
    </row>
    <row r="51" customFormat="false" ht="15" hidden="false" customHeight="false" outlineLevel="0" collapsed="false">
      <c r="A51" s="2" t="s">
        <v>278</v>
      </c>
      <c r="B51" s="6" t="n">
        <v>45619</v>
      </c>
      <c r="C51" s="2" t="s">
        <v>144</v>
      </c>
      <c r="D51" s="2" t="s">
        <v>192</v>
      </c>
      <c r="E51" s="2" t="n">
        <v>2</v>
      </c>
      <c r="F51" s="7" t="n">
        <f aca="false">INDEX(Products!$D$2:$D$11,MATCH(D51,Products!$A$2:$A$11,0))</f>
        <v>22000</v>
      </c>
      <c r="G51" s="8" t="n">
        <v>0</v>
      </c>
      <c r="H51" s="9" t="n">
        <f aca="false">E51*F51*(1-G51)</f>
        <v>44000</v>
      </c>
      <c r="I51" s="2" t="s">
        <v>230</v>
      </c>
      <c r="J51" s="2" t="s">
        <v>224</v>
      </c>
    </row>
    <row r="52" customFormat="false" ht="15" hidden="false" customHeight="false" outlineLevel="0" collapsed="false">
      <c r="A52" s="2" t="s">
        <v>279</v>
      </c>
      <c r="B52" s="6" t="n">
        <v>45448</v>
      </c>
      <c r="C52" s="2" t="s">
        <v>173</v>
      </c>
      <c r="D52" s="2" t="s">
        <v>197</v>
      </c>
      <c r="E52" s="2" t="n">
        <v>1</v>
      </c>
      <c r="F52" s="7" t="n">
        <f aca="false">INDEX(Products!$D$2:$D$11,MATCH(D52,Products!$A$2:$A$11,0))</f>
        <v>12000</v>
      </c>
      <c r="G52" s="8" t="n">
        <v>0.1</v>
      </c>
      <c r="H52" s="9" t="n">
        <f aca="false">E52*F52*(1-G52)</f>
        <v>10800</v>
      </c>
      <c r="I52" s="2" t="s">
        <v>221</v>
      </c>
      <c r="J52" s="2" t="s">
        <v>224</v>
      </c>
    </row>
    <row r="53" customFormat="false" ht="15" hidden="false" customHeight="false" outlineLevel="0" collapsed="false">
      <c r="A53" s="2" t="s">
        <v>280</v>
      </c>
      <c r="B53" s="6" t="n">
        <v>45769</v>
      </c>
      <c r="C53" s="2" t="s">
        <v>121</v>
      </c>
      <c r="D53" s="2" t="s">
        <v>189</v>
      </c>
      <c r="E53" s="2" t="n">
        <v>2</v>
      </c>
      <c r="F53" s="7" t="n">
        <f aca="false">INDEX(Products!$D$2:$D$11,MATCH(D53,Products!$A$2:$A$11,0))</f>
        <v>55000</v>
      </c>
      <c r="G53" s="8" t="n">
        <v>0.1</v>
      </c>
      <c r="H53" s="9" t="n">
        <f aca="false">E53*F53*(1-G53)</f>
        <v>99000</v>
      </c>
      <c r="I53" s="2" t="s">
        <v>221</v>
      </c>
      <c r="J53" s="2" t="s">
        <v>228</v>
      </c>
    </row>
    <row r="54" customFormat="false" ht="15" hidden="false" customHeight="false" outlineLevel="0" collapsed="false">
      <c r="A54" s="2" t="s">
        <v>281</v>
      </c>
      <c r="B54" s="6" t="n">
        <v>45890</v>
      </c>
      <c r="C54" s="2" t="s">
        <v>171</v>
      </c>
      <c r="D54" s="2" t="s">
        <v>189</v>
      </c>
      <c r="E54" s="2" t="n">
        <v>5</v>
      </c>
      <c r="F54" s="7" t="n">
        <f aca="false">INDEX(Products!$D$2:$D$11,MATCH(D54,Products!$A$2:$A$11,0))</f>
        <v>55000</v>
      </c>
      <c r="G54" s="8" t="n">
        <v>0.1</v>
      </c>
      <c r="H54" s="9" t="n">
        <f aca="false">E54*F54*(1-G54)</f>
        <v>247500</v>
      </c>
      <c r="I54" s="2" t="s">
        <v>221</v>
      </c>
      <c r="J54" s="2" t="s">
        <v>224</v>
      </c>
    </row>
    <row r="55" customFormat="false" ht="15" hidden="false" customHeight="false" outlineLevel="0" collapsed="false">
      <c r="A55" s="2" t="s">
        <v>282</v>
      </c>
      <c r="B55" s="6" t="n">
        <v>45652</v>
      </c>
      <c r="C55" s="2" t="s">
        <v>99</v>
      </c>
      <c r="D55" s="2" t="s">
        <v>203</v>
      </c>
      <c r="E55" s="2" t="n">
        <v>4</v>
      </c>
      <c r="F55" s="7" t="n">
        <f aca="false">INDEX(Products!$D$2:$D$11,MATCH(D55,Products!$A$2:$A$11,0))</f>
        <v>28000</v>
      </c>
      <c r="G55" s="8" t="n">
        <v>0.15</v>
      </c>
      <c r="H55" s="9" t="n">
        <f aca="false">E55*F55*(1-G55)</f>
        <v>95200</v>
      </c>
      <c r="I55" s="2" t="s">
        <v>239</v>
      </c>
      <c r="J55" s="2" t="s">
        <v>222</v>
      </c>
    </row>
    <row r="56" customFormat="false" ht="15" hidden="false" customHeight="false" outlineLevel="0" collapsed="false">
      <c r="A56" s="2" t="s">
        <v>283</v>
      </c>
      <c r="B56" s="6" t="n">
        <v>45517</v>
      </c>
      <c r="C56" s="2" t="s">
        <v>136</v>
      </c>
      <c r="D56" s="2" t="s">
        <v>197</v>
      </c>
      <c r="E56" s="2" t="n">
        <v>3</v>
      </c>
      <c r="F56" s="7" t="n">
        <f aca="false">INDEX(Products!$D$2:$D$11,MATCH(D56,Products!$A$2:$A$11,0))</f>
        <v>12000</v>
      </c>
      <c r="G56" s="8" t="n">
        <v>0.1</v>
      </c>
      <c r="H56" s="9" t="n">
        <f aca="false">E56*F56*(1-G56)</f>
        <v>32400</v>
      </c>
      <c r="I56" s="2" t="s">
        <v>221</v>
      </c>
      <c r="J56" s="2" t="s">
        <v>224</v>
      </c>
    </row>
    <row r="57" customFormat="false" ht="15" hidden="false" customHeight="false" outlineLevel="0" collapsed="false">
      <c r="A57" s="2" t="s">
        <v>284</v>
      </c>
      <c r="B57" s="6" t="n">
        <v>45636</v>
      </c>
      <c r="C57" s="2" t="s">
        <v>165</v>
      </c>
      <c r="D57" s="2" t="s">
        <v>203</v>
      </c>
      <c r="E57" s="2" t="n">
        <v>2</v>
      </c>
      <c r="F57" s="7" t="n">
        <f aca="false">INDEX(Products!$D$2:$D$11,MATCH(D57,Products!$A$2:$A$11,0))</f>
        <v>28000</v>
      </c>
      <c r="G57" s="8" t="n">
        <v>0.1</v>
      </c>
      <c r="H57" s="9" t="n">
        <f aca="false">E57*F57*(1-G57)</f>
        <v>50400</v>
      </c>
      <c r="I57" s="2" t="s">
        <v>230</v>
      </c>
      <c r="J57" s="2" t="s">
        <v>236</v>
      </c>
    </row>
    <row r="58" customFormat="false" ht="15" hidden="false" customHeight="false" outlineLevel="0" collapsed="false">
      <c r="A58" s="2" t="s">
        <v>285</v>
      </c>
      <c r="B58" s="6" t="n">
        <v>45838</v>
      </c>
      <c r="C58" s="2" t="s">
        <v>32</v>
      </c>
      <c r="D58" s="2" t="s">
        <v>203</v>
      </c>
      <c r="E58" s="2" t="n">
        <v>5</v>
      </c>
      <c r="F58" s="7" t="n">
        <f aca="false">INDEX(Products!$D$2:$D$11,MATCH(D58,Products!$A$2:$A$11,0))</f>
        <v>28000</v>
      </c>
      <c r="G58" s="8" t="n">
        <v>0.15</v>
      </c>
      <c r="H58" s="9" t="n">
        <f aca="false">E58*F58*(1-G58)</f>
        <v>119000</v>
      </c>
      <c r="I58" s="2" t="s">
        <v>227</v>
      </c>
      <c r="J58" s="2" t="s">
        <v>224</v>
      </c>
    </row>
    <row r="59" customFormat="false" ht="15" hidden="false" customHeight="false" outlineLevel="0" collapsed="false">
      <c r="A59" s="2" t="s">
        <v>286</v>
      </c>
      <c r="B59" s="6" t="n">
        <v>45730</v>
      </c>
      <c r="C59" s="2" t="s">
        <v>61</v>
      </c>
      <c r="D59" s="2" t="s">
        <v>205</v>
      </c>
      <c r="E59" s="2" t="n">
        <v>2</v>
      </c>
      <c r="F59" s="7" t="n">
        <f aca="false">INDEX(Products!$D$2:$D$11,MATCH(D59,Products!$A$2:$A$11,0))</f>
        <v>3200</v>
      </c>
      <c r="G59" s="8" t="n">
        <v>0</v>
      </c>
      <c r="H59" s="9" t="n">
        <f aca="false">E59*F59*(1-G59)</f>
        <v>6400</v>
      </c>
      <c r="I59" s="2" t="s">
        <v>232</v>
      </c>
      <c r="J59" s="2" t="s">
        <v>224</v>
      </c>
    </row>
    <row r="60" customFormat="false" ht="15" hidden="false" customHeight="false" outlineLevel="0" collapsed="false">
      <c r="A60" s="2" t="s">
        <v>287</v>
      </c>
      <c r="B60" s="6" t="n">
        <v>45508</v>
      </c>
      <c r="C60" s="2" t="s">
        <v>130</v>
      </c>
      <c r="D60" s="2" t="s">
        <v>201</v>
      </c>
      <c r="E60" s="2" t="n">
        <v>3</v>
      </c>
      <c r="F60" s="7" t="n">
        <f aca="false">INDEX(Products!$D$2:$D$11,MATCH(D60,Products!$A$2:$A$11,0))</f>
        <v>800</v>
      </c>
      <c r="G60" s="8" t="n">
        <v>0.1</v>
      </c>
      <c r="H60" s="9" t="n">
        <f aca="false">E60*F60*(1-G60)</f>
        <v>2160</v>
      </c>
      <c r="I60" s="2" t="s">
        <v>232</v>
      </c>
      <c r="J60" s="2" t="s">
        <v>222</v>
      </c>
    </row>
    <row r="61" customFormat="false" ht="15" hidden="false" customHeight="false" outlineLevel="0" collapsed="false">
      <c r="A61" s="2" t="s">
        <v>288</v>
      </c>
      <c r="B61" s="6" t="n">
        <v>45723</v>
      </c>
      <c r="C61" s="2" t="s">
        <v>90</v>
      </c>
      <c r="D61" s="2" t="s">
        <v>192</v>
      </c>
      <c r="E61" s="2" t="n">
        <v>4</v>
      </c>
      <c r="F61" s="7" t="n">
        <f aca="false">INDEX(Products!$D$2:$D$11,MATCH(D61,Products!$A$2:$A$11,0))</f>
        <v>22000</v>
      </c>
      <c r="G61" s="8" t="n">
        <v>0</v>
      </c>
      <c r="H61" s="9" t="n">
        <f aca="false">E61*F61*(1-G61)</f>
        <v>88000</v>
      </c>
      <c r="I61" s="2" t="s">
        <v>239</v>
      </c>
      <c r="J61" s="2" t="s">
        <v>224</v>
      </c>
    </row>
    <row r="62" customFormat="false" ht="15" hidden="false" customHeight="false" outlineLevel="0" collapsed="false">
      <c r="A62" s="2" t="s">
        <v>289</v>
      </c>
      <c r="B62" s="6" t="n">
        <v>45650</v>
      </c>
      <c r="C62" s="2" t="s">
        <v>80</v>
      </c>
      <c r="D62" s="2" t="s">
        <v>192</v>
      </c>
      <c r="E62" s="2" t="n">
        <v>1</v>
      </c>
      <c r="F62" s="7" t="n">
        <f aca="false">INDEX(Products!$D$2:$D$11,MATCH(D62,Products!$A$2:$A$11,0))</f>
        <v>22000</v>
      </c>
      <c r="G62" s="8" t="n">
        <v>0</v>
      </c>
      <c r="H62" s="9" t="n">
        <f aca="false">E62*F62*(1-G62)</f>
        <v>22000</v>
      </c>
      <c r="I62" s="2" t="s">
        <v>230</v>
      </c>
      <c r="J62" s="2" t="s">
        <v>224</v>
      </c>
    </row>
    <row r="63" customFormat="false" ht="15" hidden="false" customHeight="false" outlineLevel="0" collapsed="false">
      <c r="A63" s="2" t="s">
        <v>290</v>
      </c>
      <c r="B63" s="6" t="n">
        <v>45312</v>
      </c>
      <c r="C63" s="2" t="s">
        <v>157</v>
      </c>
      <c r="D63" s="2" t="s">
        <v>194</v>
      </c>
      <c r="E63" s="2" t="n">
        <v>2</v>
      </c>
      <c r="F63" s="7" t="n">
        <f aca="false">INDEX(Products!$D$2:$D$11,MATCH(D63,Products!$A$2:$A$11,0))</f>
        <v>2500</v>
      </c>
      <c r="G63" s="8" t="n">
        <v>0</v>
      </c>
      <c r="H63" s="9" t="n">
        <f aca="false">E63*F63*(1-G63)</f>
        <v>5000</v>
      </c>
      <c r="I63" s="2" t="s">
        <v>221</v>
      </c>
      <c r="J63" s="2" t="s">
        <v>224</v>
      </c>
    </row>
    <row r="64" customFormat="false" ht="15" hidden="false" customHeight="false" outlineLevel="0" collapsed="false">
      <c r="A64" s="2" t="s">
        <v>291</v>
      </c>
      <c r="B64" s="6" t="n">
        <v>45869</v>
      </c>
      <c r="C64" s="2" t="s">
        <v>77</v>
      </c>
      <c r="D64" s="2" t="s">
        <v>205</v>
      </c>
      <c r="E64" s="2" t="n">
        <v>3</v>
      </c>
      <c r="F64" s="7" t="n">
        <f aca="false">INDEX(Products!$D$2:$D$11,MATCH(D64,Products!$A$2:$A$11,0))</f>
        <v>3200</v>
      </c>
      <c r="G64" s="8" t="n">
        <v>0.05</v>
      </c>
      <c r="H64" s="9" t="n">
        <f aca="false">E64*F64*(1-G64)</f>
        <v>9120</v>
      </c>
      <c r="I64" s="2" t="s">
        <v>230</v>
      </c>
      <c r="J64" s="2" t="s">
        <v>224</v>
      </c>
    </row>
    <row r="65" customFormat="false" ht="15" hidden="false" customHeight="false" outlineLevel="0" collapsed="false">
      <c r="A65" s="2" t="s">
        <v>292</v>
      </c>
      <c r="B65" s="6" t="n">
        <v>45409</v>
      </c>
      <c r="C65" s="2" t="s">
        <v>182</v>
      </c>
      <c r="D65" s="2" t="s">
        <v>194</v>
      </c>
      <c r="E65" s="2" t="n">
        <v>3</v>
      </c>
      <c r="F65" s="7" t="n">
        <f aca="false">INDEX(Products!$D$2:$D$11,MATCH(D65,Products!$A$2:$A$11,0))</f>
        <v>2500</v>
      </c>
      <c r="G65" s="8" t="n">
        <v>0</v>
      </c>
      <c r="H65" s="9" t="n">
        <f aca="false">E65*F65*(1-G65)</f>
        <v>7500</v>
      </c>
      <c r="I65" s="2" t="s">
        <v>239</v>
      </c>
      <c r="J65" s="2" t="s">
        <v>224</v>
      </c>
    </row>
    <row r="66" customFormat="false" ht="15" hidden="false" customHeight="false" outlineLevel="0" collapsed="false">
      <c r="A66" s="2" t="s">
        <v>293</v>
      </c>
      <c r="B66" s="6" t="n">
        <v>45611</v>
      </c>
      <c r="C66" s="2" t="s">
        <v>150</v>
      </c>
      <c r="D66" s="2" t="s">
        <v>203</v>
      </c>
      <c r="E66" s="2" t="n">
        <v>4</v>
      </c>
      <c r="F66" s="7" t="n">
        <f aca="false">INDEX(Products!$D$2:$D$11,MATCH(D66,Products!$A$2:$A$11,0))</f>
        <v>28000</v>
      </c>
      <c r="G66" s="8" t="n">
        <v>0</v>
      </c>
      <c r="H66" s="9" t="n">
        <f aca="false">E66*F66*(1-G66)</f>
        <v>112000</v>
      </c>
      <c r="I66" s="2" t="s">
        <v>227</v>
      </c>
      <c r="J66" s="2" t="s">
        <v>224</v>
      </c>
    </row>
    <row r="67" customFormat="false" ht="15" hidden="false" customHeight="false" outlineLevel="0" collapsed="false">
      <c r="A67" s="2" t="s">
        <v>294</v>
      </c>
      <c r="B67" s="6" t="n">
        <v>45540</v>
      </c>
      <c r="C67" s="2" t="s">
        <v>54</v>
      </c>
      <c r="D67" s="2" t="s">
        <v>199</v>
      </c>
      <c r="E67" s="2" t="n">
        <v>5</v>
      </c>
      <c r="F67" s="7" t="n">
        <f aca="false">INDEX(Products!$D$2:$D$11,MATCH(D67,Products!$A$2:$A$11,0))</f>
        <v>1500</v>
      </c>
      <c r="G67" s="8" t="n">
        <v>0</v>
      </c>
      <c r="H67" s="9" t="n">
        <f aca="false">E67*F67*(1-G67)</f>
        <v>7500</v>
      </c>
      <c r="I67" s="2" t="s">
        <v>239</v>
      </c>
      <c r="J67" s="2" t="s">
        <v>222</v>
      </c>
    </row>
    <row r="68" customFormat="false" ht="15" hidden="false" customHeight="false" outlineLevel="0" collapsed="false">
      <c r="A68" s="2" t="s">
        <v>295</v>
      </c>
      <c r="B68" s="6" t="n">
        <v>45647</v>
      </c>
      <c r="C68" s="2" t="s">
        <v>144</v>
      </c>
      <c r="D68" s="2" t="s">
        <v>203</v>
      </c>
      <c r="E68" s="2" t="n">
        <v>3</v>
      </c>
      <c r="F68" s="7" t="n">
        <f aca="false">INDEX(Products!$D$2:$D$11,MATCH(D68,Products!$A$2:$A$11,0))</f>
        <v>28000</v>
      </c>
      <c r="G68" s="8" t="n">
        <v>0</v>
      </c>
      <c r="H68" s="9" t="n">
        <f aca="false">E68*F68*(1-G68)</f>
        <v>84000</v>
      </c>
      <c r="I68" s="2" t="s">
        <v>239</v>
      </c>
      <c r="J68" s="2" t="s">
        <v>224</v>
      </c>
    </row>
    <row r="69" customFormat="false" ht="15" hidden="false" customHeight="false" outlineLevel="0" collapsed="false">
      <c r="A69" s="2" t="s">
        <v>296</v>
      </c>
      <c r="B69" s="6" t="n">
        <v>45304</v>
      </c>
      <c r="C69" s="2" t="s">
        <v>121</v>
      </c>
      <c r="D69" s="2" t="s">
        <v>205</v>
      </c>
      <c r="E69" s="2" t="n">
        <v>1</v>
      </c>
      <c r="F69" s="7" t="n">
        <f aca="false">INDEX(Products!$D$2:$D$11,MATCH(D69,Products!$A$2:$A$11,0))</f>
        <v>3200</v>
      </c>
      <c r="G69" s="8" t="n">
        <v>0.1</v>
      </c>
      <c r="H69" s="9" t="n">
        <f aca="false">E69*F69*(1-G69)</f>
        <v>2880</v>
      </c>
      <c r="I69" s="2" t="s">
        <v>232</v>
      </c>
      <c r="J69" s="2" t="s">
        <v>224</v>
      </c>
    </row>
    <row r="70" customFormat="false" ht="15" hidden="false" customHeight="false" outlineLevel="0" collapsed="false">
      <c r="A70" s="2" t="s">
        <v>297</v>
      </c>
      <c r="B70" s="6" t="n">
        <v>45762</v>
      </c>
      <c r="C70" s="2" t="s">
        <v>173</v>
      </c>
      <c r="D70" s="2" t="s">
        <v>194</v>
      </c>
      <c r="E70" s="2" t="n">
        <v>4</v>
      </c>
      <c r="F70" s="7" t="n">
        <f aca="false">INDEX(Products!$D$2:$D$11,MATCH(D70,Products!$A$2:$A$11,0))</f>
        <v>2500</v>
      </c>
      <c r="G70" s="8" t="n">
        <v>0</v>
      </c>
      <c r="H70" s="9" t="n">
        <f aca="false">E70*F70*(1-G70)</f>
        <v>10000</v>
      </c>
      <c r="I70" s="2" t="s">
        <v>239</v>
      </c>
      <c r="J70" s="2" t="s">
        <v>236</v>
      </c>
    </row>
    <row r="71" customFormat="false" ht="15" hidden="false" customHeight="false" outlineLevel="0" collapsed="false">
      <c r="A71" s="2" t="s">
        <v>298</v>
      </c>
      <c r="B71" s="6" t="n">
        <v>45568</v>
      </c>
      <c r="C71" s="2" t="s">
        <v>157</v>
      </c>
      <c r="D71" s="2" t="s">
        <v>207</v>
      </c>
      <c r="E71" s="2" t="n">
        <v>4</v>
      </c>
      <c r="F71" s="7" t="n">
        <f aca="false">INDEX(Products!$D$2:$D$11,MATCH(D71,Products!$A$2:$A$11,0))</f>
        <v>9500</v>
      </c>
      <c r="G71" s="8" t="n">
        <v>0.1</v>
      </c>
      <c r="H71" s="9" t="n">
        <f aca="false">E71*F71*(1-G71)</f>
        <v>34200</v>
      </c>
      <c r="I71" s="2" t="s">
        <v>221</v>
      </c>
      <c r="J71" s="2" t="s">
        <v>222</v>
      </c>
    </row>
    <row r="72" customFormat="false" ht="15" hidden="false" customHeight="false" outlineLevel="0" collapsed="false">
      <c r="A72" s="2" t="s">
        <v>299</v>
      </c>
      <c r="B72" s="6" t="n">
        <v>45566</v>
      </c>
      <c r="C72" s="2" t="s">
        <v>101</v>
      </c>
      <c r="D72" s="2" t="s">
        <v>197</v>
      </c>
      <c r="E72" s="2" t="n">
        <v>1</v>
      </c>
      <c r="F72" s="7" t="n">
        <f aca="false">INDEX(Products!$D$2:$D$11,MATCH(D72,Products!$A$2:$A$11,0))</f>
        <v>12000</v>
      </c>
      <c r="G72" s="8" t="n">
        <v>0.05</v>
      </c>
      <c r="H72" s="9" t="n">
        <f aca="false">E72*F72*(1-G72)</f>
        <v>11400</v>
      </c>
      <c r="I72" s="2" t="s">
        <v>221</v>
      </c>
      <c r="J72" s="2" t="s">
        <v>224</v>
      </c>
    </row>
    <row r="73" customFormat="false" ht="15" hidden="false" customHeight="false" outlineLevel="0" collapsed="false">
      <c r="A73" s="2" t="s">
        <v>300</v>
      </c>
      <c r="B73" s="6" t="n">
        <v>45767</v>
      </c>
      <c r="C73" s="2" t="s">
        <v>150</v>
      </c>
      <c r="D73" s="2" t="s">
        <v>210</v>
      </c>
      <c r="E73" s="2" t="n">
        <v>4</v>
      </c>
      <c r="F73" s="7" t="n">
        <f aca="false">INDEX(Products!$D$2:$D$11,MATCH(D73,Products!$A$2:$A$11,0))</f>
        <v>3500</v>
      </c>
      <c r="G73" s="8" t="n">
        <v>0.05</v>
      </c>
      <c r="H73" s="9" t="n">
        <f aca="false">E73*F73*(1-G73)</f>
        <v>13300</v>
      </c>
      <c r="I73" s="2" t="s">
        <v>227</v>
      </c>
      <c r="J73" s="2" t="s">
        <v>224</v>
      </c>
    </row>
    <row r="74" customFormat="false" ht="15" hidden="false" customHeight="false" outlineLevel="0" collapsed="false">
      <c r="A74" s="2" t="s">
        <v>301</v>
      </c>
      <c r="B74" s="6" t="n">
        <v>45624</v>
      </c>
      <c r="C74" s="2" t="s">
        <v>71</v>
      </c>
      <c r="D74" s="2" t="s">
        <v>205</v>
      </c>
      <c r="E74" s="2" t="n">
        <v>2</v>
      </c>
      <c r="F74" s="7" t="n">
        <f aca="false">INDEX(Products!$D$2:$D$11,MATCH(D74,Products!$A$2:$A$11,0))</f>
        <v>3200</v>
      </c>
      <c r="G74" s="8" t="n">
        <v>0.05</v>
      </c>
      <c r="H74" s="9" t="n">
        <f aca="false">E74*F74*(1-G74)</f>
        <v>6080</v>
      </c>
      <c r="I74" s="2" t="s">
        <v>232</v>
      </c>
      <c r="J74" s="2" t="s">
        <v>224</v>
      </c>
    </row>
    <row r="75" customFormat="false" ht="15" hidden="false" customHeight="false" outlineLevel="0" collapsed="false">
      <c r="A75" s="2" t="s">
        <v>302</v>
      </c>
      <c r="B75" s="6" t="n">
        <v>45574</v>
      </c>
      <c r="C75" s="2" t="s">
        <v>147</v>
      </c>
      <c r="D75" s="2" t="s">
        <v>189</v>
      </c>
      <c r="E75" s="2" t="n">
        <v>5</v>
      </c>
      <c r="F75" s="7" t="n">
        <f aca="false">INDEX(Products!$D$2:$D$11,MATCH(D75,Products!$A$2:$A$11,0))</f>
        <v>55000</v>
      </c>
      <c r="G75" s="8" t="n">
        <v>0</v>
      </c>
      <c r="H75" s="9" t="n">
        <f aca="false">E75*F75*(1-G75)</f>
        <v>275000</v>
      </c>
      <c r="I75" s="2" t="s">
        <v>227</v>
      </c>
      <c r="J75" s="2" t="s">
        <v>224</v>
      </c>
    </row>
    <row r="76" customFormat="false" ht="15" hidden="false" customHeight="false" outlineLevel="0" collapsed="false">
      <c r="A76" s="2" t="s">
        <v>303</v>
      </c>
      <c r="B76" s="6" t="n">
        <v>45708</v>
      </c>
      <c r="C76" s="2" t="s">
        <v>136</v>
      </c>
      <c r="D76" s="2" t="s">
        <v>207</v>
      </c>
      <c r="E76" s="2" t="n">
        <v>2</v>
      </c>
      <c r="F76" s="7" t="n">
        <f aca="false">INDEX(Products!$D$2:$D$11,MATCH(D76,Products!$A$2:$A$11,0))</f>
        <v>9500</v>
      </c>
      <c r="G76" s="8" t="n">
        <v>0.1</v>
      </c>
      <c r="H76" s="9" t="n">
        <f aca="false">E76*F76*(1-G76)</f>
        <v>17100</v>
      </c>
      <c r="I76" s="2" t="s">
        <v>221</v>
      </c>
      <c r="J76" s="2" t="s">
        <v>224</v>
      </c>
    </row>
    <row r="77" customFormat="false" ht="15" hidden="false" customHeight="false" outlineLevel="0" collapsed="false">
      <c r="A77" s="2" t="s">
        <v>304</v>
      </c>
      <c r="B77" s="6" t="n">
        <v>45309</v>
      </c>
      <c r="C77" s="2" t="s">
        <v>49</v>
      </c>
      <c r="D77" s="2" t="s">
        <v>199</v>
      </c>
      <c r="E77" s="2" t="n">
        <v>2</v>
      </c>
      <c r="F77" s="7" t="n">
        <f aca="false">INDEX(Products!$D$2:$D$11,MATCH(D77,Products!$A$2:$A$11,0))</f>
        <v>1500</v>
      </c>
      <c r="G77" s="8" t="n">
        <v>0.1</v>
      </c>
      <c r="H77" s="9" t="n">
        <f aca="false">E77*F77*(1-G77)</f>
        <v>2700</v>
      </c>
      <c r="I77" s="2" t="s">
        <v>230</v>
      </c>
      <c r="J77" s="2" t="s">
        <v>224</v>
      </c>
    </row>
    <row r="78" customFormat="false" ht="15" hidden="false" customHeight="false" outlineLevel="0" collapsed="false">
      <c r="A78" s="2" t="s">
        <v>305</v>
      </c>
      <c r="B78" s="6" t="n">
        <v>45887</v>
      </c>
      <c r="C78" s="2" t="s">
        <v>110</v>
      </c>
      <c r="D78" s="2" t="s">
        <v>205</v>
      </c>
      <c r="E78" s="2" t="n">
        <v>5</v>
      </c>
      <c r="F78" s="7" t="n">
        <f aca="false">INDEX(Products!$D$2:$D$11,MATCH(D78,Products!$A$2:$A$11,0))</f>
        <v>3200</v>
      </c>
      <c r="G78" s="8" t="n">
        <v>0.15</v>
      </c>
      <c r="H78" s="9" t="n">
        <f aca="false">E78*F78*(1-G78)</f>
        <v>13600</v>
      </c>
      <c r="I78" s="2" t="s">
        <v>232</v>
      </c>
      <c r="J78" s="2" t="s">
        <v>224</v>
      </c>
    </row>
    <row r="79" customFormat="false" ht="15" hidden="false" customHeight="false" outlineLevel="0" collapsed="false">
      <c r="A79" s="2" t="s">
        <v>306</v>
      </c>
      <c r="B79" s="6" t="n">
        <v>45855</v>
      </c>
      <c r="C79" s="2" t="s">
        <v>104</v>
      </c>
      <c r="D79" s="2" t="s">
        <v>201</v>
      </c>
      <c r="E79" s="2" t="n">
        <v>4</v>
      </c>
      <c r="F79" s="7" t="n">
        <f aca="false">INDEX(Products!$D$2:$D$11,MATCH(D79,Products!$A$2:$A$11,0))</f>
        <v>800</v>
      </c>
      <c r="G79" s="8" t="n">
        <v>0.05</v>
      </c>
      <c r="H79" s="9" t="n">
        <f aca="false">E79*F79*(1-G79)</f>
        <v>3040</v>
      </c>
      <c r="I79" s="2" t="s">
        <v>232</v>
      </c>
      <c r="J79" s="2" t="s">
        <v>224</v>
      </c>
    </row>
    <row r="80" customFormat="false" ht="15" hidden="false" customHeight="false" outlineLevel="0" collapsed="false">
      <c r="A80" s="2" t="s">
        <v>307</v>
      </c>
      <c r="B80" s="6" t="n">
        <v>45415</v>
      </c>
      <c r="C80" s="2" t="s">
        <v>175</v>
      </c>
      <c r="D80" s="2" t="s">
        <v>197</v>
      </c>
      <c r="E80" s="2" t="n">
        <v>3</v>
      </c>
      <c r="F80" s="7" t="n">
        <f aca="false">INDEX(Products!$D$2:$D$11,MATCH(D80,Products!$A$2:$A$11,0))</f>
        <v>12000</v>
      </c>
      <c r="G80" s="8" t="n">
        <v>0</v>
      </c>
      <c r="H80" s="9" t="n">
        <f aca="false">E80*F80*(1-G80)</f>
        <v>36000</v>
      </c>
      <c r="I80" s="2" t="s">
        <v>239</v>
      </c>
      <c r="J80" s="2" t="s">
        <v>236</v>
      </c>
    </row>
    <row r="81" customFormat="false" ht="15" hidden="false" customHeight="false" outlineLevel="0" collapsed="false">
      <c r="A81" s="2" t="s">
        <v>308</v>
      </c>
      <c r="B81" s="6" t="n">
        <v>45481</v>
      </c>
      <c r="C81" s="2" t="s">
        <v>74</v>
      </c>
      <c r="D81" s="2" t="s">
        <v>197</v>
      </c>
      <c r="E81" s="2" t="n">
        <v>4</v>
      </c>
      <c r="F81" s="7" t="n">
        <f aca="false">INDEX(Products!$D$2:$D$11,MATCH(D81,Products!$A$2:$A$11,0))</f>
        <v>12000</v>
      </c>
      <c r="G81" s="8" t="n">
        <v>0.05</v>
      </c>
      <c r="H81" s="9" t="n">
        <f aca="false">E81*F81*(1-G81)</f>
        <v>45600</v>
      </c>
      <c r="I81" s="2" t="s">
        <v>239</v>
      </c>
      <c r="J81" s="2" t="s">
        <v>236</v>
      </c>
    </row>
    <row r="82" customFormat="false" ht="15" hidden="false" customHeight="false" outlineLevel="0" collapsed="false">
      <c r="A82" s="2" t="s">
        <v>309</v>
      </c>
      <c r="B82" s="6" t="n">
        <v>45829</v>
      </c>
      <c r="C82" s="2" t="s">
        <v>155</v>
      </c>
      <c r="D82" s="2" t="s">
        <v>199</v>
      </c>
      <c r="E82" s="2" t="n">
        <v>1</v>
      </c>
      <c r="F82" s="7" t="n">
        <f aca="false">INDEX(Products!$D$2:$D$11,MATCH(D82,Products!$A$2:$A$11,0))</f>
        <v>1500</v>
      </c>
      <c r="G82" s="8" t="n">
        <v>0</v>
      </c>
      <c r="H82" s="9" t="n">
        <f aca="false">E82*F82*(1-G82)</f>
        <v>1500</v>
      </c>
      <c r="I82" s="2" t="s">
        <v>232</v>
      </c>
      <c r="J82" s="2" t="s">
        <v>224</v>
      </c>
    </row>
    <row r="83" customFormat="false" ht="15" hidden="false" customHeight="false" outlineLevel="0" collapsed="false">
      <c r="A83" s="2" t="s">
        <v>310</v>
      </c>
      <c r="B83" s="6" t="n">
        <v>45475</v>
      </c>
      <c r="C83" s="2" t="s">
        <v>99</v>
      </c>
      <c r="D83" s="2" t="s">
        <v>189</v>
      </c>
      <c r="E83" s="2" t="n">
        <v>5</v>
      </c>
      <c r="F83" s="7" t="n">
        <f aca="false">INDEX(Products!$D$2:$D$11,MATCH(D83,Products!$A$2:$A$11,0))</f>
        <v>55000</v>
      </c>
      <c r="G83" s="8" t="n">
        <v>0</v>
      </c>
      <c r="H83" s="9" t="n">
        <f aca="false">E83*F83*(1-G83)</f>
        <v>275000</v>
      </c>
      <c r="I83" s="2" t="s">
        <v>232</v>
      </c>
      <c r="J83" s="2" t="s">
        <v>224</v>
      </c>
    </row>
    <row r="84" customFormat="false" ht="15" hidden="false" customHeight="false" outlineLevel="0" collapsed="false">
      <c r="A84" s="2" t="s">
        <v>311</v>
      </c>
      <c r="B84" s="6" t="n">
        <v>45347</v>
      </c>
      <c r="C84" s="2" t="s">
        <v>147</v>
      </c>
      <c r="D84" s="2" t="s">
        <v>199</v>
      </c>
      <c r="E84" s="2" t="n">
        <v>2</v>
      </c>
      <c r="F84" s="7" t="n">
        <f aca="false">INDEX(Products!$D$2:$D$11,MATCH(D84,Products!$A$2:$A$11,0))</f>
        <v>1500</v>
      </c>
      <c r="G84" s="8" t="n">
        <v>0.1</v>
      </c>
      <c r="H84" s="9" t="n">
        <f aca="false">E84*F84*(1-G84)</f>
        <v>2700</v>
      </c>
      <c r="I84" s="2" t="s">
        <v>227</v>
      </c>
      <c r="J84" s="2" t="s">
        <v>228</v>
      </c>
    </row>
    <row r="85" customFormat="false" ht="15" hidden="false" customHeight="false" outlineLevel="0" collapsed="false">
      <c r="A85" s="2" t="s">
        <v>312</v>
      </c>
      <c r="B85" s="6" t="n">
        <v>45879</v>
      </c>
      <c r="C85" s="2" t="s">
        <v>96</v>
      </c>
      <c r="D85" s="2" t="s">
        <v>205</v>
      </c>
      <c r="E85" s="2" t="n">
        <v>4</v>
      </c>
      <c r="F85" s="7" t="n">
        <f aca="false">INDEX(Products!$D$2:$D$11,MATCH(D85,Products!$A$2:$A$11,0))</f>
        <v>3200</v>
      </c>
      <c r="G85" s="8" t="n">
        <v>0.1</v>
      </c>
      <c r="H85" s="9" t="n">
        <f aca="false">E85*F85*(1-G85)</f>
        <v>11520</v>
      </c>
      <c r="I85" s="2" t="s">
        <v>232</v>
      </c>
      <c r="J85" s="2" t="s">
        <v>224</v>
      </c>
    </row>
    <row r="86" customFormat="false" ht="15" hidden="false" customHeight="false" outlineLevel="0" collapsed="false">
      <c r="A86" s="2" t="s">
        <v>313</v>
      </c>
      <c r="B86" s="6" t="n">
        <v>45344</v>
      </c>
      <c r="C86" s="2" t="s">
        <v>90</v>
      </c>
      <c r="D86" s="2" t="s">
        <v>205</v>
      </c>
      <c r="E86" s="2" t="n">
        <v>1</v>
      </c>
      <c r="F86" s="7" t="n">
        <f aca="false">INDEX(Products!$D$2:$D$11,MATCH(D86,Products!$A$2:$A$11,0))</f>
        <v>3200</v>
      </c>
      <c r="G86" s="8" t="n">
        <v>0</v>
      </c>
      <c r="H86" s="9" t="n">
        <f aca="false">E86*F86*(1-G86)</f>
        <v>3200</v>
      </c>
      <c r="I86" s="2" t="s">
        <v>221</v>
      </c>
      <c r="J86" s="2" t="s">
        <v>224</v>
      </c>
    </row>
    <row r="87" customFormat="false" ht="15" hidden="false" customHeight="false" outlineLevel="0" collapsed="false">
      <c r="A87" s="2" t="s">
        <v>314</v>
      </c>
      <c r="B87" s="6" t="n">
        <v>45882</v>
      </c>
      <c r="C87" s="2" t="s">
        <v>159</v>
      </c>
      <c r="D87" s="2" t="s">
        <v>189</v>
      </c>
      <c r="E87" s="2" t="n">
        <v>2</v>
      </c>
      <c r="F87" s="7" t="n">
        <f aca="false">INDEX(Products!$D$2:$D$11,MATCH(D87,Products!$A$2:$A$11,0))</f>
        <v>55000</v>
      </c>
      <c r="G87" s="8" t="n">
        <v>0</v>
      </c>
      <c r="H87" s="9" t="n">
        <f aca="false">E87*F87*(1-G87)</f>
        <v>110000</v>
      </c>
      <c r="I87" s="2" t="s">
        <v>239</v>
      </c>
      <c r="J87" s="2" t="s">
        <v>228</v>
      </c>
    </row>
    <row r="88" customFormat="false" ht="15" hidden="false" customHeight="false" outlineLevel="0" collapsed="false">
      <c r="A88" s="2" t="s">
        <v>315</v>
      </c>
      <c r="B88" s="6" t="n">
        <v>45379</v>
      </c>
      <c r="C88" s="2" t="s">
        <v>85</v>
      </c>
      <c r="D88" s="2" t="s">
        <v>192</v>
      </c>
      <c r="E88" s="2" t="n">
        <v>5</v>
      </c>
      <c r="F88" s="7" t="n">
        <f aca="false">INDEX(Products!$D$2:$D$11,MATCH(D88,Products!$A$2:$A$11,0))</f>
        <v>22000</v>
      </c>
      <c r="G88" s="8" t="n">
        <v>0.1</v>
      </c>
      <c r="H88" s="9" t="n">
        <f aca="false">E88*F88*(1-G88)</f>
        <v>99000</v>
      </c>
      <c r="I88" s="2" t="s">
        <v>239</v>
      </c>
      <c r="J88" s="2" t="s">
        <v>224</v>
      </c>
    </row>
    <row r="89" customFormat="false" ht="15" hidden="false" customHeight="false" outlineLevel="0" collapsed="false">
      <c r="A89" s="2" t="s">
        <v>316</v>
      </c>
      <c r="B89" s="6" t="n">
        <v>45523</v>
      </c>
      <c r="C89" s="2" t="s">
        <v>182</v>
      </c>
      <c r="D89" s="2" t="s">
        <v>207</v>
      </c>
      <c r="E89" s="2" t="n">
        <v>4</v>
      </c>
      <c r="F89" s="7" t="n">
        <f aca="false">INDEX(Products!$D$2:$D$11,MATCH(D89,Products!$A$2:$A$11,0))</f>
        <v>9500</v>
      </c>
      <c r="G89" s="8" t="n">
        <v>0.1</v>
      </c>
      <c r="H89" s="9" t="n">
        <f aca="false">E89*F89*(1-G89)</f>
        <v>34200</v>
      </c>
      <c r="I89" s="2" t="s">
        <v>221</v>
      </c>
      <c r="J89" s="2" t="s">
        <v>224</v>
      </c>
    </row>
    <row r="90" customFormat="false" ht="15" hidden="false" customHeight="false" outlineLevel="0" collapsed="false">
      <c r="A90" s="2" t="s">
        <v>317</v>
      </c>
      <c r="B90" s="6" t="n">
        <v>45731</v>
      </c>
      <c r="C90" s="2" t="s">
        <v>99</v>
      </c>
      <c r="D90" s="2" t="s">
        <v>210</v>
      </c>
      <c r="E90" s="2" t="n">
        <v>5</v>
      </c>
      <c r="F90" s="7" t="n">
        <f aca="false">INDEX(Products!$D$2:$D$11,MATCH(D90,Products!$A$2:$A$11,0))</f>
        <v>3500</v>
      </c>
      <c r="G90" s="8" t="n">
        <v>0</v>
      </c>
      <c r="H90" s="9" t="n">
        <f aca="false">E90*F90*(1-G90)</f>
        <v>17500</v>
      </c>
      <c r="I90" s="2" t="s">
        <v>239</v>
      </c>
      <c r="J90" s="2" t="s">
        <v>236</v>
      </c>
    </row>
    <row r="91" customFormat="false" ht="15" hidden="false" customHeight="false" outlineLevel="0" collapsed="false">
      <c r="A91" s="2" t="s">
        <v>318</v>
      </c>
      <c r="B91" s="6" t="n">
        <v>45393</v>
      </c>
      <c r="C91" s="2" t="s">
        <v>180</v>
      </c>
      <c r="D91" s="2" t="s">
        <v>197</v>
      </c>
      <c r="E91" s="2" t="n">
        <v>2</v>
      </c>
      <c r="F91" s="7" t="n">
        <f aca="false">INDEX(Products!$D$2:$D$11,MATCH(D91,Products!$A$2:$A$11,0))</f>
        <v>12000</v>
      </c>
      <c r="G91" s="8" t="n">
        <v>0.05</v>
      </c>
      <c r="H91" s="9" t="n">
        <f aca="false">E91*F91*(1-G91)</f>
        <v>22800</v>
      </c>
      <c r="I91" s="2" t="s">
        <v>227</v>
      </c>
      <c r="J91" s="2" t="s">
        <v>224</v>
      </c>
    </row>
    <row r="92" customFormat="false" ht="15" hidden="false" customHeight="false" outlineLevel="0" collapsed="false">
      <c r="A92" s="2" t="s">
        <v>319</v>
      </c>
      <c r="B92" s="6" t="n">
        <v>45469</v>
      </c>
      <c r="C92" s="2" t="s">
        <v>147</v>
      </c>
      <c r="D92" s="2" t="s">
        <v>192</v>
      </c>
      <c r="E92" s="2" t="n">
        <v>2</v>
      </c>
      <c r="F92" s="7" t="n">
        <f aca="false">INDEX(Products!$D$2:$D$11,MATCH(D92,Products!$A$2:$A$11,0))</f>
        <v>22000</v>
      </c>
      <c r="G92" s="8" t="n">
        <v>0</v>
      </c>
      <c r="H92" s="9" t="n">
        <f aca="false">E92*F92*(1-G92)</f>
        <v>44000</v>
      </c>
      <c r="I92" s="2" t="s">
        <v>221</v>
      </c>
      <c r="J92" s="2" t="s">
        <v>224</v>
      </c>
    </row>
    <row r="93" customFormat="false" ht="15" hidden="false" customHeight="false" outlineLevel="0" collapsed="false">
      <c r="A93" s="2" t="s">
        <v>320</v>
      </c>
      <c r="B93" s="6" t="n">
        <v>45773</v>
      </c>
      <c r="C93" s="2" t="s">
        <v>96</v>
      </c>
      <c r="D93" s="2" t="s">
        <v>189</v>
      </c>
      <c r="E93" s="2" t="n">
        <v>2</v>
      </c>
      <c r="F93" s="7" t="n">
        <f aca="false">INDEX(Products!$D$2:$D$11,MATCH(D93,Products!$A$2:$A$11,0))</f>
        <v>55000</v>
      </c>
      <c r="G93" s="8" t="n">
        <v>0.05</v>
      </c>
      <c r="H93" s="9" t="n">
        <f aca="false">E93*F93*(1-G93)</f>
        <v>104500</v>
      </c>
      <c r="I93" s="2" t="s">
        <v>232</v>
      </c>
      <c r="J93" s="2" t="s">
        <v>222</v>
      </c>
    </row>
    <row r="94" customFormat="false" ht="15" hidden="false" customHeight="false" outlineLevel="0" collapsed="false">
      <c r="A94" s="2" t="s">
        <v>321</v>
      </c>
      <c r="B94" s="6" t="n">
        <v>45756</v>
      </c>
      <c r="C94" s="2" t="s">
        <v>44</v>
      </c>
      <c r="D94" s="2" t="s">
        <v>197</v>
      </c>
      <c r="E94" s="2" t="n">
        <v>3</v>
      </c>
      <c r="F94" s="7" t="n">
        <f aca="false">INDEX(Products!$D$2:$D$11,MATCH(D94,Products!$A$2:$A$11,0))</f>
        <v>12000</v>
      </c>
      <c r="G94" s="8" t="n">
        <v>0.15</v>
      </c>
      <c r="H94" s="9" t="n">
        <f aca="false">E94*F94*(1-G94)</f>
        <v>30600</v>
      </c>
      <c r="I94" s="2" t="s">
        <v>230</v>
      </c>
      <c r="J94" s="2" t="s">
        <v>224</v>
      </c>
    </row>
    <row r="95" customFormat="false" ht="15" hidden="false" customHeight="false" outlineLevel="0" collapsed="false">
      <c r="A95" s="2" t="s">
        <v>322</v>
      </c>
      <c r="B95" s="6" t="n">
        <v>45849</v>
      </c>
      <c r="C95" s="2" t="s">
        <v>80</v>
      </c>
      <c r="D95" s="2" t="s">
        <v>194</v>
      </c>
      <c r="E95" s="2" t="n">
        <v>3</v>
      </c>
      <c r="F95" s="7" t="n">
        <f aca="false">INDEX(Products!$D$2:$D$11,MATCH(D95,Products!$A$2:$A$11,0))</f>
        <v>2500</v>
      </c>
      <c r="G95" s="8" t="n">
        <v>0</v>
      </c>
      <c r="H95" s="9" t="n">
        <f aca="false">E95*F95*(1-G95)</f>
        <v>7500</v>
      </c>
      <c r="I95" s="2" t="s">
        <v>227</v>
      </c>
      <c r="J95" s="2" t="s">
        <v>224</v>
      </c>
    </row>
    <row r="96" customFormat="false" ht="15" hidden="false" customHeight="false" outlineLevel="0" collapsed="false">
      <c r="A96" s="2" t="s">
        <v>323</v>
      </c>
      <c r="B96" s="6" t="n">
        <v>45606</v>
      </c>
      <c r="C96" s="2" t="s">
        <v>155</v>
      </c>
      <c r="D96" s="2" t="s">
        <v>210</v>
      </c>
      <c r="E96" s="2" t="n">
        <v>3</v>
      </c>
      <c r="F96" s="7" t="n">
        <f aca="false">INDEX(Products!$D$2:$D$11,MATCH(D96,Products!$A$2:$A$11,0))</f>
        <v>3500</v>
      </c>
      <c r="G96" s="8" t="n">
        <v>0.1</v>
      </c>
      <c r="H96" s="9" t="n">
        <f aca="false">E96*F96*(1-G96)</f>
        <v>9450</v>
      </c>
      <c r="I96" s="2" t="s">
        <v>227</v>
      </c>
      <c r="J96" s="2" t="s">
        <v>224</v>
      </c>
    </row>
    <row r="97" customFormat="false" ht="15" hidden="false" customHeight="false" outlineLevel="0" collapsed="false">
      <c r="A97" s="2" t="s">
        <v>324</v>
      </c>
      <c r="B97" s="6" t="n">
        <v>45603</v>
      </c>
      <c r="C97" s="2" t="s">
        <v>171</v>
      </c>
      <c r="D97" s="2" t="s">
        <v>203</v>
      </c>
      <c r="E97" s="2" t="n">
        <v>3</v>
      </c>
      <c r="F97" s="7" t="n">
        <f aca="false">INDEX(Products!$D$2:$D$11,MATCH(D97,Products!$A$2:$A$11,0))</f>
        <v>28000</v>
      </c>
      <c r="G97" s="8" t="n">
        <v>0.15</v>
      </c>
      <c r="H97" s="9" t="n">
        <f aca="false">E97*F97*(1-G97)</f>
        <v>71400</v>
      </c>
      <c r="I97" s="2" t="s">
        <v>239</v>
      </c>
      <c r="J97" s="2" t="s">
        <v>224</v>
      </c>
    </row>
    <row r="98" customFormat="false" ht="15" hidden="false" customHeight="false" outlineLevel="0" collapsed="false">
      <c r="A98" s="2" t="s">
        <v>325</v>
      </c>
      <c r="B98" s="6" t="n">
        <v>45374</v>
      </c>
      <c r="C98" s="2" t="s">
        <v>155</v>
      </c>
      <c r="D98" s="2" t="s">
        <v>189</v>
      </c>
      <c r="E98" s="2" t="n">
        <v>4</v>
      </c>
      <c r="F98" s="7" t="n">
        <f aca="false">INDEX(Products!$D$2:$D$11,MATCH(D98,Products!$A$2:$A$11,0))</f>
        <v>55000</v>
      </c>
      <c r="G98" s="8" t="n">
        <v>0.05</v>
      </c>
      <c r="H98" s="9" t="n">
        <f aca="false">E98*F98*(1-G98)</f>
        <v>209000</v>
      </c>
      <c r="I98" s="2" t="s">
        <v>239</v>
      </c>
      <c r="J98" s="2" t="s">
        <v>224</v>
      </c>
    </row>
    <row r="99" customFormat="false" ht="15" hidden="false" customHeight="false" outlineLevel="0" collapsed="false">
      <c r="A99" s="2" t="s">
        <v>326</v>
      </c>
      <c r="B99" s="6" t="n">
        <v>45385</v>
      </c>
      <c r="C99" s="2" t="s">
        <v>80</v>
      </c>
      <c r="D99" s="2" t="s">
        <v>210</v>
      </c>
      <c r="E99" s="2" t="n">
        <v>5</v>
      </c>
      <c r="F99" s="7" t="n">
        <f aca="false">INDEX(Products!$D$2:$D$11,MATCH(D99,Products!$A$2:$A$11,0))</f>
        <v>3500</v>
      </c>
      <c r="G99" s="8" t="n">
        <v>0</v>
      </c>
      <c r="H99" s="9" t="n">
        <f aca="false">E99*F99*(1-G99)</f>
        <v>17500</v>
      </c>
      <c r="I99" s="2" t="s">
        <v>232</v>
      </c>
      <c r="J99" s="2" t="s">
        <v>224</v>
      </c>
    </row>
    <row r="100" customFormat="false" ht="15" hidden="false" customHeight="false" outlineLevel="0" collapsed="false">
      <c r="A100" s="2" t="s">
        <v>327</v>
      </c>
      <c r="B100" s="6" t="n">
        <v>45471</v>
      </c>
      <c r="C100" s="2" t="s">
        <v>133</v>
      </c>
      <c r="D100" s="2" t="s">
        <v>207</v>
      </c>
      <c r="E100" s="2" t="n">
        <v>4</v>
      </c>
      <c r="F100" s="7" t="n">
        <f aca="false">INDEX(Products!$D$2:$D$11,MATCH(D100,Products!$A$2:$A$11,0))</f>
        <v>9500</v>
      </c>
      <c r="G100" s="8" t="n">
        <v>0.05</v>
      </c>
      <c r="H100" s="9" t="n">
        <f aca="false">E100*F100*(1-G100)</f>
        <v>36100</v>
      </c>
      <c r="I100" s="2" t="s">
        <v>230</v>
      </c>
      <c r="J100" s="2" t="s">
        <v>236</v>
      </c>
    </row>
    <row r="101" customFormat="false" ht="15" hidden="false" customHeight="false" outlineLevel="0" collapsed="false">
      <c r="A101" s="2" t="s">
        <v>328</v>
      </c>
      <c r="B101" s="6" t="n">
        <v>45738</v>
      </c>
      <c r="C101" s="2" t="s">
        <v>159</v>
      </c>
      <c r="D101" s="2" t="s">
        <v>205</v>
      </c>
      <c r="E101" s="2" t="n">
        <v>1</v>
      </c>
      <c r="F101" s="7" t="n">
        <f aca="false">INDEX(Products!$D$2:$D$11,MATCH(D101,Products!$A$2:$A$11,0))</f>
        <v>3200</v>
      </c>
      <c r="G101" s="8" t="n">
        <v>0.1</v>
      </c>
      <c r="H101" s="9" t="n">
        <f aca="false">E101*F101*(1-G101)</f>
        <v>2880</v>
      </c>
      <c r="I101" s="2" t="s">
        <v>232</v>
      </c>
      <c r="J101" s="2" t="s">
        <v>224</v>
      </c>
    </row>
    <row r="102" customFormat="false" ht="15" hidden="false" customHeight="false" outlineLevel="0" collapsed="false">
      <c r="A102" s="2" t="s">
        <v>329</v>
      </c>
      <c r="B102" s="6" t="n">
        <v>45620</v>
      </c>
      <c r="C102" s="2" t="s">
        <v>165</v>
      </c>
      <c r="D102" s="2" t="s">
        <v>192</v>
      </c>
      <c r="E102" s="2" t="n">
        <v>2</v>
      </c>
      <c r="F102" s="7" t="n">
        <f aca="false">INDEX(Products!$D$2:$D$11,MATCH(D102,Products!$A$2:$A$11,0))</f>
        <v>22000</v>
      </c>
      <c r="G102" s="8" t="n">
        <v>0.05</v>
      </c>
      <c r="H102" s="9" t="n">
        <f aca="false">E102*F102*(1-G102)</f>
        <v>41800</v>
      </c>
      <c r="I102" s="2" t="s">
        <v>221</v>
      </c>
      <c r="J102" s="2" t="s">
        <v>224</v>
      </c>
    </row>
    <row r="103" customFormat="false" ht="15" hidden="false" customHeight="false" outlineLevel="0" collapsed="false">
      <c r="A103" s="2" t="s">
        <v>330</v>
      </c>
      <c r="B103" s="6" t="n">
        <v>45587</v>
      </c>
      <c r="C103" s="2" t="s">
        <v>165</v>
      </c>
      <c r="D103" s="2" t="s">
        <v>203</v>
      </c>
      <c r="E103" s="2" t="n">
        <v>5</v>
      </c>
      <c r="F103" s="7" t="n">
        <f aca="false">INDEX(Products!$D$2:$D$11,MATCH(D103,Products!$A$2:$A$11,0))</f>
        <v>28000</v>
      </c>
      <c r="G103" s="8" t="n">
        <v>0</v>
      </c>
      <c r="H103" s="9" t="n">
        <f aca="false">E103*F103*(1-G103)</f>
        <v>140000</v>
      </c>
      <c r="I103" s="2" t="s">
        <v>221</v>
      </c>
      <c r="J103" s="2" t="s">
        <v>224</v>
      </c>
    </row>
    <row r="104" customFormat="false" ht="15" hidden="false" customHeight="false" outlineLevel="0" collapsed="false">
      <c r="A104" s="2" t="s">
        <v>331</v>
      </c>
      <c r="B104" s="6" t="n">
        <v>45550</v>
      </c>
      <c r="C104" s="2" t="s">
        <v>101</v>
      </c>
      <c r="D104" s="2" t="s">
        <v>192</v>
      </c>
      <c r="E104" s="2" t="n">
        <v>4</v>
      </c>
      <c r="F104" s="7" t="n">
        <f aca="false">INDEX(Products!$D$2:$D$11,MATCH(D104,Products!$A$2:$A$11,0))</f>
        <v>22000</v>
      </c>
      <c r="G104" s="8" t="n">
        <v>0.15</v>
      </c>
      <c r="H104" s="9" t="n">
        <f aca="false">E104*F104*(1-G104)</f>
        <v>74800</v>
      </c>
      <c r="I104" s="2" t="s">
        <v>227</v>
      </c>
      <c r="J104" s="2" t="s">
        <v>224</v>
      </c>
    </row>
    <row r="105" customFormat="false" ht="15" hidden="false" customHeight="false" outlineLevel="0" collapsed="false">
      <c r="A105" s="2" t="s">
        <v>332</v>
      </c>
      <c r="B105" s="6" t="n">
        <v>45847</v>
      </c>
      <c r="C105" s="2" t="s">
        <v>130</v>
      </c>
      <c r="D105" s="2" t="s">
        <v>203</v>
      </c>
      <c r="E105" s="2" t="n">
        <v>1</v>
      </c>
      <c r="F105" s="7" t="n">
        <f aca="false">INDEX(Products!$D$2:$D$11,MATCH(D105,Products!$A$2:$A$11,0))</f>
        <v>28000</v>
      </c>
      <c r="G105" s="8" t="n">
        <v>0</v>
      </c>
      <c r="H105" s="9" t="n">
        <f aca="false">E105*F105*(1-G105)</f>
        <v>28000</v>
      </c>
      <c r="I105" s="2" t="s">
        <v>239</v>
      </c>
      <c r="J105" s="2" t="s">
        <v>224</v>
      </c>
    </row>
    <row r="106" customFormat="false" ht="15" hidden="false" customHeight="false" outlineLevel="0" collapsed="false">
      <c r="A106" s="2" t="s">
        <v>333</v>
      </c>
      <c r="B106" s="6" t="n">
        <v>45802</v>
      </c>
      <c r="C106" s="2" t="s">
        <v>159</v>
      </c>
      <c r="D106" s="2" t="s">
        <v>205</v>
      </c>
      <c r="E106" s="2" t="n">
        <v>1</v>
      </c>
      <c r="F106" s="7" t="n">
        <f aca="false">INDEX(Products!$D$2:$D$11,MATCH(D106,Products!$A$2:$A$11,0))</f>
        <v>3200</v>
      </c>
      <c r="G106" s="8" t="n">
        <v>0</v>
      </c>
      <c r="H106" s="9" t="n">
        <f aca="false">E106*F106*(1-G106)</f>
        <v>3200</v>
      </c>
      <c r="I106" s="2" t="s">
        <v>232</v>
      </c>
      <c r="J106" s="2" t="s">
        <v>224</v>
      </c>
    </row>
    <row r="107" customFormat="false" ht="15" hidden="false" customHeight="false" outlineLevel="0" collapsed="false">
      <c r="A107" s="2" t="s">
        <v>334</v>
      </c>
      <c r="B107" s="6" t="n">
        <v>45586</v>
      </c>
      <c r="C107" s="2" t="s">
        <v>127</v>
      </c>
      <c r="D107" s="2" t="s">
        <v>205</v>
      </c>
      <c r="E107" s="2" t="n">
        <v>1</v>
      </c>
      <c r="F107" s="7" t="n">
        <f aca="false">INDEX(Products!$D$2:$D$11,MATCH(D107,Products!$A$2:$A$11,0))</f>
        <v>3200</v>
      </c>
      <c r="G107" s="8" t="n">
        <v>0</v>
      </c>
      <c r="H107" s="9" t="n">
        <f aca="false">E107*F107*(1-G107)</f>
        <v>3200</v>
      </c>
      <c r="I107" s="2" t="s">
        <v>239</v>
      </c>
      <c r="J107" s="2" t="s">
        <v>222</v>
      </c>
    </row>
    <row r="108" customFormat="false" ht="15" hidden="false" customHeight="false" outlineLevel="0" collapsed="false">
      <c r="A108" s="2" t="s">
        <v>335</v>
      </c>
      <c r="B108" s="6" t="n">
        <v>45454</v>
      </c>
      <c r="C108" s="2" t="s">
        <v>99</v>
      </c>
      <c r="D108" s="2" t="s">
        <v>207</v>
      </c>
      <c r="E108" s="2" t="n">
        <v>1</v>
      </c>
      <c r="F108" s="7" t="n">
        <f aca="false">INDEX(Products!$D$2:$D$11,MATCH(D108,Products!$A$2:$A$11,0))</f>
        <v>9500</v>
      </c>
      <c r="G108" s="8" t="n">
        <v>0.15</v>
      </c>
      <c r="H108" s="9" t="n">
        <f aca="false">E108*F108*(1-G108)</f>
        <v>8075</v>
      </c>
      <c r="I108" s="2" t="s">
        <v>221</v>
      </c>
      <c r="J108" s="2" t="s">
        <v>224</v>
      </c>
    </row>
    <row r="109" customFormat="false" ht="15" hidden="false" customHeight="false" outlineLevel="0" collapsed="false">
      <c r="A109" s="2" t="s">
        <v>336</v>
      </c>
      <c r="B109" s="6" t="n">
        <v>45408</v>
      </c>
      <c r="C109" s="2" t="s">
        <v>130</v>
      </c>
      <c r="D109" s="2" t="s">
        <v>192</v>
      </c>
      <c r="E109" s="2" t="n">
        <v>2</v>
      </c>
      <c r="F109" s="7" t="n">
        <f aca="false">INDEX(Products!$D$2:$D$11,MATCH(D109,Products!$A$2:$A$11,0))</f>
        <v>22000</v>
      </c>
      <c r="G109" s="8" t="n">
        <v>0.1</v>
      </c>
      <c r="H109" s="9" t="n">
        <f aca="false">E109*F109*(1-G109)</f>
        <v>39600</v>
      </c>
      <c r="I109" s="2" t="s">
        <v>232</v>
      </c>
      <c r="J109" s="2" t="s">
        <v>224</v>
      </c>
    </row>
    <row r="110" customFormat="false" ht="15" hidden="false" customHeight="false" outlineLevel="0" collapsed="false">
      <c r="A110" s="2" t="s">
        <v>337</v>
      </c>
      <c r="B110" s="6" t="n">
        <v>45571</v>
      </c>
      <c r="C110" s="2" t="s">
        <v>121</v>
      </c>
      <c r="D110" s="2" t="s">
        <v>205</v>
      </c>
      <c r="E110" s="2" t="n">
        <v>4</v>
      </c>
      <c r="F110" s="7" t="n">
        <f aca="false">INDEX(Products!$D$2:$D$11,MATCH(D110,Products!$A$2:$A$11,0))</f>
        <v>3200</v>
      </c>
      <c r="G110" s="8" t="n">
        <v>0</v>
      </c>
      <c r="H110" s="9" t="n">
        <f aca="false">E110*F110*(1-G110)</f>
        <v>12800</v>
      </c>
      <c r="I110" s="2" t="s">
        <v>221</v>
      </c>
      <c r="J110" s="2" t="s">
        <v>224</v>
      </c>
    </row>
    <row r="111" customFormat="false" ht="15" hidden="false" customHeight="false" outlineLevel="0" collapsed="false">
      <c r="A111" s="2" t="s">
        <v>338</v>
      </c>
      <c r="B111" s="6" t="n">
        <v>45684</v>
      </c>
      <c r="C111" s="2" t="s">
        <v>74</v>
      </c>
      <c r="D111" s="2" t="s">
        <v>210</v>
      </c>
      <c r="E111" s="2" t="n">
        <v>5</v>
      </c>
      <c r="F111" s="7" t="n">
        <f aca="false">INDEX(Products!$D$2:$D$11,MATCH(D111,Products!$A$2:$A$11,0))</f>
        <v>3500</v>
      </c>
      <c r="G111" s="8" t="n">
        <v>0</v>
      </c>
      <c r="H111" s="9" t="n">
        <f aca="false">E111*F111*(1-G111)</f>
        <v>17500</v>
      </c>
      <c r="I111" s="2" t="s">
        <v>227</v>
      </c>
      <c r="J111" s="2" t="s">
        <v>224</v>
      </c>
    </row>
    <row r="112" customFormat="false" ht="15" hidden="false" customHeight="false" outlineLevel="0" collapsed="false">
      <c r="A112" s="2" t="s">
        <v>339</v>
      </c>
      <c r="B112" s="6" t="n">
        <v>45716</v>
      </c>
      <c r="C112" s="2" t="s">
        <v>104</v>
      </c>
      <c r="D112" s="2" t="s">
        <v>207</v>
      </c>
      <c r="E112" s="2" t="n">
        <v>3</v>
      </c>
      <c r="F112" s="7" t="n">
        <f aca="false">INDEX(Products!$D$2:$D$11,MATCH(D112,Products!$A$2:$A$11,0))</f>
        <v>9500</v>
      </c>
      <c r="G112" s="8" t="n">
        <v>0</v>
      </c>
      <c r="H112" s="9" t="n">
        <f aca="false">E112*F112*(1-G112)</f>
        <v>28500</v>
      </c>
      <c r="I112" s="2" t="s">
        <v>232</v>
      </c>
      <c r="J112" s="2" t="s">
        <v>222</v>
      </c>
    </row>
    <row r="113" customFormat="false" ht="15" hidden="false" customHeight="false" outlineLevel="0" collapsed="false">
      <c r="A113" s="2" t="s">
        <v>340</v>
      </c>
      <c r="B113" s="6" t="n">
        <v>45885</v>
      </c>
      <c r="C113" s="2" t="s">
        <v>165</v>
      </c>
      <c r="D113" s="2" t="s">
        <v>205</v>
      </c>
      <c r="E113" s="2" t="n">
        <v>2</v>
      </c>
      <c r="F113" s="7" t="n">
        <f aca="false">INDEX(Products!$D$2:$D$11,MATCH(D113,Products!$A$2:$A$11,0))</f>
        <v>3200</v>
      </c>
      <c r="G113" s="8" t="n">
        <v>0.1</v>
      </c>
      <c r="H113" s="9" t="n">
        <f aca="false">E113*F113*(1-G113)</f>
        <v>5760</v>
      </c>
      <c r="I113" s="2" t="s">
        <v>239</v>
      </c>
      <c r="J113" s="2" t="s">
        <v>224</v>
      </c>
    </row>
    <row r="114" customFormat="false" ht="15" hidden="false" customHeight="false" outlineLevel="0" collapsed="false">
      <c r="A114" s="2" t="s">
        <v>341</v>
      </c>
      <c r="B114" s="6" t="n">
        <v>45632</v>
      </c>
      <c r="C114" s="2" t="s">
        <v>147</v>
      </c>
      <c r="D114" s="2" t="s">
        <v>207</v>
      </c>
      <c r="E114" s="2" t="n">
        <v>4</v>
      </c>
      <c r="F114" s="7" t="n">
        <f aca="false">INDEX(Products!$D$2:$D$11,MATCH(D114,Products!$A$2:$A$11,0))</f>
        <v>9500</v>
      </c>
      <c r="G114" s="8" t="n">
        <v>0.1</v>
      </c>
      <c r="H114" s="9" t="n">
        <f aca="false">E114*F114*(1-G114)</f>
        <v>34200</v>
      </c>
      <c r="I114" s="2" t="s">
        <v>232</v>
      </c>
      <c r="J114" s="2" t="s">
        <v>228</v>
      </c>
    </row>
    <row r="115" customFormat="false" ht="15" hidden="false" customHeight="false" outlineLevel="0" collapsed="false">
      <c r="A115" s="2" t="s">
        <v>342</v>
      </c>
      <c r="B115" s="6" t="n">
        <v>45536</v>
      </c>
      <c r="C115" s="2" t="s">
        <v>150</v>
      </c>
      <c r="D115" s="2" t="s">
        <v>203</v>
      </c>
      <c r="E115" s="2" t="n">
        <v>2</v>
      </c>
      <c r="F115" s="7" t="n">
        <f aca="false">INDEX(Products!$D$2:$D$11,MATCH(D115,Products!$A$2:$A$11,0))</f>
        <v>28000</v>
      </c>
      <c r="G115" s="8" t="n">
        <v>0.1</v>
      </c>
      <c r="H115" s="9" t="n">
        <f aca="false">E115*F115*(1-G115)</f>
        <v>50400</v>
      </c>
      <c r="I115" s="2" t="s">
        <v>227</v>
      </c>
      <c r="J115" s="2" t="s">
        <v>224</v>
      </c>
    </row>
    <row r="116" customFormat="false" ht="15" hidden="false" customHeight="false" outlineLevel="0" collapsed="false">
      <c r="A116" s="2" t="s">
        <v>343</v>
      </c>
      <c r="B116" s="6" t="n">
        <v>45776</v>
      </c>
      <c r="C116" s="2" t="s">
        <v>173</v>
      </c>
      <c r="D116" s="2" t="s">
        <v>203</v>
      </c>
      <c r="E116" s="2" t="n">
        <v>4</v>
      </c>
      <c r="F116" s="7" t="n">
        <f aca="false">INDEX(Products!$D$2:$D$11,MATCH(D116,Products!$A$2:$A$11,0))</f>
        <v>28000</v>
      </c>
      <c r="G116" s="8" t="n">
        <v>0</v>
      </c>
      <c r="H116" s="9" t="n">
        <f aca="false">E116*F116*(1-G116)</f>
        <v>112000</v>
      </c>
      <c r="I116" s="2" t="s">
        <v>221</v>
      </c>
      <c r="J116" s="2" t="s">
        <v>236</v>
      </c>
    </row>
    <row r="117" customFormat="false" ht="15" hidden="false" customHeight="false" outlineLevel="0" collapsed="false">
      <c r="A117" s="2" t="s">
        <v>344</v>
      </c>
      <c r="B117" s="6" t="n">
        <v>45421</v>
      </c>
      <c r="C117" s="2" t="s">
        <v>139</v>
      </c>
      <c r="D117" s="2" t="s">
        <v>210</v>
      </c>
      <c r="E117" s="2" t="n">
        <v>3</v>
      </c>
      <c r="F117" s="7" t="n">
        <f aca="false">INDEX(Products!$D$2:$D$11,MATCH(D117,Products!$A$2:$A$11,0))</f>
        <v>3500</v>
      </c>
      <c r="G117" s="8" t="n">
        <v>0</v>
      </c>
      <c r="H117" s="9" t="n">
        <f aca="false">E117*F117*(1-G117)</f>
        <v>10500</v>
      </c>
      <c r="I117" s="2" t="s">
        <v>221</v>
      </c>
      <c r="J117" s="2" t="s">
        <v>224</v>
      </c>
    </row>
    <row r="118" customFormat="false" ht="15" hidden="false" customHeight="false" outlineLevel="0" collapsed="false">
      <c r="A118" s="2" t="s">
        <v>345</v>
      </c>
      <c r="B118" s="6" t="n">
        <v>45759</v>
      </c>
      <c r="C118" s="2" t="s">
        <v>27</v>
      </c>
      <c r="D118" s="2" t="s">
        <v>194</v>
      </c>
      <c r="E118" s="2" t="n">
        <v>4</v>
      </c>
      <c r="F118" s="7" t="n">
        <f aca="false">INDEX(Products!$D$2:$D$11,MATCH(D118,Products!$A$2:$A$11,0))</f>
        <v>2500</v>
      </c>
      <c r="G118" s="8" t="n">
        <v>0</v>
      </c>
      <c r="H118" s="9" t="n">
        <f aca="false">E118*F118*(1-G118)</f>
        <v>10000</v>
      </c>
      <c r="I118" s="2" t="s">
        <v>227</v>
      </c>
      <c r="J118" s="2" t="s">
        <v>224</v>
      </c>
    </row>
    <row r="119" customFormat="false" ht="15" hidden="false" customHeight="false" outlineLevel="0" collapsed="false">
      <c r="A119" s="2" t="s">
        <v>346</v>
      </c>
      <c r="B119" s="6" t="n">
        <v>45563</v>
      </c>
      <c r="C119" s="2" t="s">
        <v>104</v>
      </c>
      <c r="D119" s="2" t="s">
        <v>210</v>
      </c>
      <c r="E119" s="2" t="n">
        <v>4</v>
      </c>
      <c r="F119" s="7" t="n">
        <f aca="false">INDEX(Products!$D$2:$D$11,MATCH(D119,Products!$A$2:$A$11,0))</f>
        <v>3500</v>
      </c>
      <c r="G119" s="8" t="n">
        <v>0</v>
      </c>
      <c r="H119" s="9" t="n">
        <f aca="false">E119*F119*(1-G119)</f>
        <v>14000</v>
      </c>
      <c r="I119" s="2" t="s">
        <v>232</v>
      </c>
      <c r="J119" s="2" t="s">
        <v>228</v>
      </c>
    </row>
    <row r="120" customFormat="false" ht="15" hidden="false" customHeight="false" outlineLevel="0" collapsed="false">
      <c r="A120" s="2" t="s">
        <v>347</v>
      </c>
      <c r="B120" s="6" t="n">
        <v>45838</v>
      </c>
      <c r="C120" s="2" t="s">
        <v>113</v>
      </c>
      <c r="D120" s="2" t="s">
        <v>201</v>
      </c>
      <c r="E120" s="2" t="n">
        <v>4</v>
      </c>
      <c r="F120" s="7" t="n">
        <f aca="false">INDEX(Products!$D$2:$D$11,MATCH(D120,Products!$A$2:$A$11,0))</f>
        <v>800</v>
      </c>
      <c r="G120" s="8" t="n">
        <v>0.15</v>
      </c>
      <c r="H120" s="9" t="n">
        <f aca="false">E120*F120*(1-G120)</f>
        <v>2720</v>
      </c>
      <c r="I120" s="2" t="s">
        <v>227</v>
      </c>
      <c r="J120" s="2" t="s">
        <v>224</v>
      </c>
    </row>
    <row r="121" customFormat="false" ht="15" hidden="false" customHeight="false" outlineLevel="0" collapsed="false">
      <c r="A121" s="2" t="s">
        <v>348</v>
      </c>
      <c r="B121" s="6" t="n">
        <v>45532</v>
      </c>
      <c r="C121" s="2" t="s">
        <v>159</v>
      </c>
      <c r="D121" s="2" t="s">
        <v>199</v>
      </c>
      <c r="E121" s="2" t="n">
        <v>2</v>
      </c>
      <c r="F121" s="7" t="n">
        <f aca="false">INDEX(Products!$D$2:$D$11,MATCH(D121,Products!$A$2:$A$11,0))</f>
        <v>1500</v>
      </c>
      <c r="G121" s="8" t="n">
        <v>0</v>
      </c>
      <c r="H121" s="9" t="n">
        <f aca="false">E121*F121*(1-G121)</f>
        <v>3000</v>
      </c>
      <c r="I121" s="2" t="s">
        <v>221</v>
      </c>
      <c r="J121" s="2" t="s">
        <v>236</v>
      </c>
    </row>
    <row r="122" customFormat="false" ht="15" hidden="false" customHeight="false" outlineLevel="0" collapsed="false">
      <c r="A122" s="2" t="s">
        <v>349</v>
      </c>
      <c r="B122" s="6" t="n">
        <v>45394</v>
      </c>
      <c r="C122" s="2" t="s">
        <v>127</v>
      </c>
      <c r="D122" s="2" t="s">
        <v>194</v>
      </c>
      <c r="E122" s="2" t="n">
        <v>3</v>
      </c>
      <c r="F122" s="7" t="n">
        <f aca="false">INDEX(Products!$D$2:$D$11,MATCH(D122,Products!$A$2:$A$11,0))</f>
        <v>2500</v>
      </c>
      <c r="G122" s="8" t="n">
        <v>0</v>
      </c>
      <c r="H122" s="9" t="n">
        <f aca="false">E122*F122*(1-G122)</f>
        <v>7500</v>
      </c>
      <c r="I122" s="2" t="s">
        <v>227</v>
      </c>
      <c r="J122" s="2" t="s">
        <v>224</v>
      </c>
    </row>
    <row r="123" customFormat="false" ht="15" hidden="false" customHeight="false" outlineLevel="0" collapsed="false">
      <c r="A123" s="2" t="s">
        <v>350</v>
      </c>
      <c r="B123" s="6" t="n">
        <v>45349</v>
      </c>
      <c r="C123" s="2" t="s">
        <v>96</v>
      </c>
      <c r="D123" s="2" t="s">
        <v>201</v>
      </c>
      <c r="E123" s="2" t="n">
        <v>3</v>
      </c>
      <c r="F123" s="7" t="n">
        <f aca="false">INDEX(Products!$D$2:$D$11,MATCH(D123,Products!$A$2:$A$11,0))</f>
        <v>800</v>
      </c>
      <c r="G123" s="8" t="n">
        <v>0.1</v>
      </c>
      <c r="H123" s="9" t="n">
        <f aca="false">E123*F123*(1-G123)</f>
        <v>2160</v>
      </c>
      <c r="I123" s="2" t="s">
        <v>230</v>
      </c>
      <c r="J123" s="2" t="s">
        <v>224</v>
      </c>
    </row>
    <row r="124" customFormat="false" ht="15" hidden="false" customHeight="false" outlineLevel="0" collapsed="false">
      <c r="A124" s="2" t="s">
        <v>351</v>
      </c>
      <c r="B124" s="6" t="n">
        <v>45713</v>
      </c>
      <c r="C124" s="2" t="s">
        <v>150</v>
      </c>
      <c r="D124" s="2" t="s">
        <v>194</v>
      </c>
      <c r="E124" s="2" t="n">
        <v>2</v>
      </c>
      <c r="F124" s="7" t="n">
        <f aca="false">INDEX(Products!$D$2:$D$11,MATCH(D124,Products!$A$2:$A$11,0))</f>
        <v>2500</v>
      </c>
      <c r="G124" s="8" t="n">
        <v>0</v>
      </c>
      <c r="H124" s="9" t="n">
        <f aca="false">E124*F124*(1-G124)</f>
        <v>5000</v>
      </c>
      <c r="I124" s="2" t="s">
        <v>227</v>
      </c>
      <c r="J124" s="2" t="s">
        <v>224</v>
      </c>
    </row>
    <row r="125" customFormat="false" ht="15" hidden="false" customHeight="false" outlineLevel="0" collapsed="false">
      <c r="A125" s="2" t="s">
        <v>352</v>
      </c>
      <c r="B125" s="6" t="n">
        <v>45683</v>
      </c>
      <c r="C125" s="2" t="s">
        <v>157</v>
      </c>
      <c r="D125" s="2" t="s">
        <v>197</v>
      </c>
      <c r="E125" s="2" t="n">
        <v>4</v>
      </c>
      <c r="F125" s="7" t="n">
        <f aca="false">INDEX(Products!$D$2:$D$11,MATCH(D125,Products!$A$2:$A$11,0))</f>
        <v>12000</v>
      </c>
      <c r="G125" s="8" t="n">
        <v>0.15</v>
      </c>
      <c r="H125" s="9" t="n">
        <f aca="false">E125*F125*(1-G125)</f>
        <v>40800</v>
      </c>
      <c r="I125" s="2" t="s">
        <v>230</v>
      </c>
      <c r="J125" s="2" t="s">
        <v>224</v>
      </c>
    </row>
    <row r="126" customFormat="false" ht="15" hidden="false" customHeight="false" outlineLevel="0" collapsed="false">
      <c r="A126" s="2" t="s">
        <v>353</v>
      </c>
      <c r="B126" s="6" t="n">
        <v>45552</v>
      </c>
      <c r="C126" s="2" t="s">
        <v>130</v>
      </c>
      <c r="D126" s="2" t="s">
        <v>199</v>
      </c>
      <c r="E126" s="2" t="n">
        <v>1</v>
      </c>
      <c r="F126" s="7" t="n">
        <f aca="false">INDEX(Products!$D$2:$D$11,MATCH(D126,Products!$A$2:$A$11,0))</f>
        <v>1500</v>
      </c>
      <c r="G126" s="8" t="n">
        <v>0.1</v>
      </c>
      <c r="H126" s="9" t="n">
        <f aca="false">E126*F126*(1-G126)</f>
        <v>1350</v>
      </c>
      <c r="I126" s="2" t="s">
        <v>232</v>
      </c>
      <c r="J126" s="2" t="s">
        <v>224</v>
      </c>
    </row>
    <row r="127" customFormat="false" ht="15" hidden="false" customHeight="false" outlineLevel="0" collapsed="false">
      <c r="A127" s="2" t="s">
        <v>354</v>
      </c>
      <c r="B127" s="6" t="n">
        <v>45453</v>
      </c>
      <c r="C127" s="2" t="s">
        <v>44</v>
      </c>
      <c r="D127" s="2" t="s">
        <v>205</v>
      </c>
      <c r="E127" s="2" t="n">
        <v>3</v>
      </c>
      <c r="F127" s="7" t="n">
        <f aca="false">INDEX(Products!$D$2:$D$11,MATCH(D127,Products!$A$2:$A$11,0))</f>
        <v>3200</v>
      </c>
      <c r="G127" s="8" t="n">
        <v>0.15</v>
      </c>
      <c r="H127" s="9" t="n">
        <f aca="false">E127*F127*(1-G127)</f>
        <v>8160</v>
      </c>
      <c r="I127" s="2" t="s">
        <v>232</v>
      </c>
      <c r="J127" s="2" t="s">
        <v>224</v>
      </c>
    </row>
    <row r="128" customFormat="false" ht="15" hidden="false" customHeight="false" outlineLevel="0" collapsed="false">
      <c r="A128" s="2" t="s">
        <v>355</v>
      </c>
      <c r="B128" s="6" t="n">
        <v>45726</v>
      </c>
      <c r="C128" s="2" t="s">
        <v>171</v>
      </c>
      <c r="D128" s="2" t="s">
        <v>199</v>
      </c>
      <c r="E128" s="2" t="n">
        <v>4</v>
      </c>
      <c r="F128" s="7" t="n">
        <f aca="false">INDEX(Products!$D$2:$D$11,MATCH(D128,Products!$A$2:$A$11,0))</f>
        <v>1500</v>
      </c>
      <c r="G128" s="8" t="n">
        <v>0.05</v>
      </c>
      <c r="H128" s="9" t="n">
        <f aca="false">E128*F128*(1-G128)</f>
        <v>5700</v>
      </c>
      <c r="I128" s="2" t="s">
        <v>230</v>
      </c>
      <c r="J128" s="2" t="s">
        <v>236</v>
      </c>
    </row>
    <row r="129" customFormat="false" ht="15" hidden="false" customHeight="false" outlineLevel="0" collapsed="false">
      <c r="A129" s="2" t="s">
        <v>356</v>
      </c>
      <c r="B129" s="6" t="n">
        <v>45786</v>
      </c>
      <c r="C129" s="2" t="s">
        <v>54</v>
      </c>
      <c r="D129" s="2" t="s">
        <v>197</v>
      </c>
      <c r="E129" s="2" t="n">
        <v>4</v>
      </c>
      <c r="F129" s="7" t="n">
        <f aca="false">INDEX(Products!$D$2:$D$11,MATCH(D129,Products!$A$2:$A$11,0))</f>
        <v>12000</v>
      </c>
      <c r="G129" s="8" t="n">
        <v>0.15</v>
      </c>
      <c r="H129" s="9" t="n">
        <f aca="false">E129*F129*(1-G129)</f>
        <v>40800</v>
      </c>
      <c r="I129" s="2" t="s">
        <v>232</v>
      </c>
      <c r="J129" s="2" t="s">
        <v>224</v>
      </c>
    </row>
    <row r="130" customFormat="false" ht="15" hidden="false" customHeight="false" outlineLevel="0" collapsed="false">
      <c r="A130" s="2" t="s">
        <v>357</v>
      </c>
      <c r="B130" s="6" t="n">
        <v>45594</v>
      </c>
      <c r="C130" s="2" t="s">
        <v>32</v>
      </c>
      <c r="D130" s="2" t="s">
        <v>203</v>
      </c>
      <c r="E130" s="2" t="n">
        <v>3</v>
      </c>
      <c r="F130" s="7" t="n">
        <f aca="false">INDEX(Products!$D$2:$D$11,MATCH(D130,Products!$A$2:$A$11,0))</f>
        <v>28000</v>
      </c>
      <c r="G130" s="8" t="n">
        <v>0</v>
      </c>
      <c r="H130" s="9" t="n">
        <f aca="false">E130*F130*(1-G130)</f>
        <v>84000</v>
      </c>
      <c r="I130" s="2" t="s">
        <v>239</v>
      </c>
      <c r="J130" s="2" t="s">
        <v>228</v>
      </c>
    </row>
    <row r="131" customFormat="false" ht="15" hidden="false" customHeight="false" outlineLevel="0" collapsed="false">
      <c r="A131" s="2" t="s">
        <v>358</v>
      </c>
      <c r="B131" s="6" t="n">
        <v>45342</v>
      </c>
      <c r="C131" s="2" t="s">
        <v>155</v>
      </c>
      <c r="D131" s="2" t="s">
        <v>205</v>
      </c>
      <c r="E131" s="2" t="n">
        <v>3</v>
      </c>
      <c r="F131" s="7" t="n">
        <f aca="false">INDEX(Products!$D$2:$D$11,MATCH(D131,Products!$A$2:$A$11,0))</f>
        <v>3200</v>
      </c>
      <c r="G131" s="8" t="n">
        <v>0</v>
      </c>
      <c r="H131" s="9" t="n">
        <f aca="false">E131*F131*(1-G131)</f>
        <v>9600</v>
      </c>
      <c r="I131" s="2" t="s">
        <v>239</v>
      </c>
      <c r="J131" s="2" t="s">
        <v>222</v>
      </c>
    </row>
    <row r="132" customFormat="false" ht="15" hidden="false" customHeight="false" outlineLevel="0" collapsed="false">
      <c r="A132" s="2" t="s">
        <v>359</v>
      </c>
      <c r="B132" s="6" t="n">
        <v>45516</v>
      </c>
      <c r="C132" s="2" t="s">
        <v>159</v>
      </c>
      <c r="D132" s="2" t="s">
        <v>197</v>
      </c>
      <c r="E132" s="2" t="n">
        <v>5</v>
      </c>
      <c r="F132" s="7" t="n">
        <f aca="false">INDEX(Products!$D$2:$D$11,MATCH(D132,Products!$A$2:$A$11,0))</f>
        <v>12000</v>
      </c>
      <c r="G132" s="8" t="n">
        <v>0.05</v>
      </c>
      <c r="H132" s="9" t="n">
        <f aca="false">E132*F132*(1-G132)</f>
        <v>57000</v>
      </c>
      <c r="I132" s="2" t="s">
        <v>230</v>
      </c>
      <c r="J132" s="2" t="s">
        <v>224</v>
      </c>
    </row>
    <row r="133" customFormat="false" ht="15" hidden="false" customHeight="false" outlineLevel="0" collapsed="false">
      <c r="A133" s="2" t="s">
        <v>360</v>
      </c>
      <c r="B133" s="6" t="n">
        <v>45332</v>
      </c>
      <c r="C133" s="2" t="s">
        <v>99</v>
      </c>
      <c r="D133" s="2" t="s">
        <v>205</v>
      </c>
      <c r="E133" s="2" t="n">
        <v>1</v>
      </c>
      <c r="F133" s="7" t="n">
        <f aca="false">INDEX(Products!$D$2:$D$11,MATCH(D133,Products!$A$2:$A$11,0))</f>
        <v>3200</v>
      </c>
      <c r="G133" s="8" t="n">
        <v>0.15</v>
      </c>
      <c r="H133" s="9" t="n">
        <f aca="false">E133*F133*(1-G133)</f>
        <v>2720</v>
      </c>
      <c r="I133" s="2" t="s">
        <v>232</v>
      </c>
      <c r="J133" s="2" t="s">
        <v>222</v>
      </c>
    </row>
    <row r="134" customFormat="false" ht="15" hidden="false" customHeight="false" outlineLevel="0" collapsed="false">
      <c r="A134" s="2" t="s">
        <v>361</v>
      </c>
      <c r="B134" s="6" t="n">
        <v>45384</v>
      </c>
      <c r="C134" s="2" t="s">
        <v>96</v>
      </c>
      <c r="D134" s="2" t="s">
        <v>201</v>
      </c>
      <c r="E134" s="2" t="n">
        <v>4</v>
      </c>
      <c r="F134" s="7" t="n">
        <f aca="false">INDEX(Products!$D$2:$D$11,MATCH(D134,Products!$A$2:$A$11,0))</f>
        <v>800</v>
      </c>
      <c r="G134" s="8" t="n">
        <v>0</v>
      </c>
      <c r="H134" s="9" t="n">
        <f aca="false">E134*F134*(1-G134)</f>
        <v>3200</v>
      </c>
      <c r="I134" s="2" t="s">
        <v>230</v>
      </c>
      <c r="J134" s="2" t="s">
        <v>224</v>
      </c>
    </row>
    <row r="135" customFormat="false" ht="15" hidden="false" customHeight="false" outlineLevel="0" collapsed="false">
      <c r="A135" s="2" t="s">
        <v>362</v>
      </c>
      <c r="B135" s="6" t="n">
        <v>45844</v>
      </c>
      <c r="C135" s="2" t="s">
        <v>110</v>
      </c>
      <c r="D135" s="2" t="s">
        <v>207</v>
      </c>
      <c r="E135" s="2" t="n">
        <v>5</v>
      </c>
      <c r="F135" s="7" t="n">
        <f aca="false">INDEX(Products!$D$2:$D$11,MATCH(D135,Products!$A$2:$A$11,0))</f>
        <v>9500</v>
      </c>
      <c r="G135" s="8" t="n">
        <v>0.05</v>
      </c>
      <c r="H135" s="9" t="n">
        <f aca="false">E135*F135*(1-G135)</f>
        <v>45125</v>
      </c>
      <c r="I135" s="2" t="s">
        <v>230</v>
      </c>
      <c r="J135" s="2" t="s">
        <v>224</v>
      </c>
    </row>
    <row r="136" customFormat="false" ht="15" hidden="false" customHeight="false" outlineLevel="0" collapsed="false">
      <c r="A136" s="2" t="s">
        <v>363</v>
      </c>
      <c r="B136" s="6" t="n">
        <v>45785</v>
      </c>
      <c r="C136" s="2" t="s">
        <v>96</v>
      </c>
      <c r="D136" s="2" t="s">
        <v>201</v>
      </c>
      <c r="E136" s="2" t="n">
        <v>1</v>
      </c>
      <c r="F136" s="7" t="n">
        <f aca="false">INDEX(Products!$D$2:$D$11,MATCH(D136,Products!$A$2:$A$11,0))</f>
        <v>800</v>
      </c>
      <c r="G136" s="8" t="n">
        <v>0.1</v>
      </c>
      <c r="H136" s="9" t="n">
        <f aca="false">E136*F136*(1-G136)</f>
        <v>720</v>
      </c>
      <c r="I136" s="2" t="s">
        <v>227</v>
      </c>
      <c r="J136" s="2" t="s">
        <v>224</v>
      </c>
    </row>
    <row r="137" customFormat="false" ht="15" hidden="false" customHeight="false" outlineLevel="0" collapsed="false">
      <c r="A137" s="2" t="s">
        <v>364</v>
      </c>
      <c r="B137" s="6" t="n">
        <v>45523</v>
      </c>
      <c r="C137" s="2" t="s">
        <v>168</v>
      </c>
      <c r="D137" s="2" t="s">
        <v>203</v>
      </c>
      <c r="E137" s="2" t="n">
        <v>5</v>
      </c>
      <c r="F137" s="7" t="n">
        <f aca="false">INDEX(Products!$D$2:$D$11,MATCH(D137,Products!$A$2:$A$11,0))</f>
        <v>28000</v>
      </c>
      <c r="G137" s="8" t="n">
        <v>0.05</v>
      </c>
      <c r="H137" s="9" t="n">
        <f aca="false">E137*F137*(1-G137)</f>
        <v>133000</v>
      </c>
      <c r="I137" s="2" t="s">
        <v>227</v>
      </c>
      <c r="J137" s="2" t="s">
        <v>222</v>
      </c>
    </row>
    <row r="138" customFormat="false" ht="15" hidden="false" customHeight="false" outlineLevel="0" collapsed="false">
      <c r="A138" s="2" t="s">
        <v>365</v>
      </c>
      <c r="B138" s="6" t="n">
        <v>45306</v>
      </c>
      <c r="C138" s="2" t="s">
        <v>90</v>
      </c>
      <c r="D138" s="2" t="s">
        <v>207</v>
      </c>
      <c r="E138" s="2" t="n">
        <v>1</v>
      </c>
      <c r="F138" s="7" t="n">
        <f aca="false">INDEX(Products!$D$2:$D$11,MATCH(D138,Products!$A$2:$A$11,0))</f>
        <v>9500</v>
      </c>
      <c r="G138" s="8" t="n">
        <v>0.1</v>
      </c>
      <c r="H138" s="9" t="n">
        <f aca="false">E138*F138*(1-G138)</f>
        <v>8550</v>
      </c>
      <c r="I138" s="2" t="s">
        <v>232</v>
      </c>
      <c r="J138" s="2" t="s">
        <v>224</v>
      </c>
    </row>
    <row r="139" customFormat="false" ht="15" hidden="false" customHeight="false" outlineLevel="0" collapsed="false">
      <c r="A139" s="2" t="s">
        <v>366</v>
      </c>
      <c r="B139" s="6" t="n">
        <v>45560</v>
      </c>
      <c r="C139" s="2" t="s">
        <v>153</v>
      </c>
      <c r="D139" s="2" t="s">
        <v>203</v>
      </c>
      <c r="E139" s="2" t="n">
        <v>3</v>
      </c>
      <c r="F139" s="7" t="n">
        <f aca="false">INDEX(Products!$D$2:$D$11,MATCH(D139,Products!$A$2:$A$11,0))</f>
        <v>28000</v>
      </c>
      <c r="G139" s="8" t="n">
        <v>0</v>
      </c>
      <c r="H139" s="9" t="n">
        <f aca="false">E139*F139*(1-G139)</f>
        <v>84000</v>
      </c>
      <c r="I139" s="2" t="s">
        <v>230</v>
      </c>
      <c r="J139" s="2" t="s">
        <v>224</v>
      </c>
    </row>
    <row r="140" customFormat="false" ht="15" hidden="false" customHeight="false" outlineLevel="0" collapsed="false">
      <c r="A140" s="2" t="s">
        <v>367</v>
      </c>
      <c r="B140" s="6" t="n">
        <v>45866</v>
      </c>
      <c r="C140" s="2" t="s">
        <v>101</v>
      </c>
      <c r="D140" s="2" t="s">
        <v>210</v>
      </c>
      <c r="E140" s="2" t="n">
        <v>2</v>
      </c>
      <c r="F140" s="7" t="n">
        <f aca="false">INDEX(Products!$D$2:$D$11,MATCH(D140,Products!$A$2:$A$11,0))</f>
        <v>3500</v>
      </c>
      <c r="G140" s="8" t="n">
        <v>0</v>
      </c>
      <c r="H140" s="9" t="n">
        <f aca="false">E140*F140*(1-G140)</f>
        <v>7000</v>
      </c>
      <c r="I140" s="2" t="s">
        <v>221</v>
      </c>
      <c r="J140" s="2" t="s">
        <v>228</v>
      </c>
    </row>
    <row r="141" customFormat="false" ht="15" hidden="false" customHeight="false" outlineLevel="0" collapsed="false">
      <c r="A141" s="2" t="s">
        <v>368</v>
      </c>
      <c r="B141" s="6" t="n">
        <v>45601</v>
      </c>
      <c r="C141" s="2" t="s">
        <v>162</v>
      </c>
      <c r="D141" s="2" t="s">
        <v>203</v>
      </c>
      <c r="E141" s="2" t="n">
        <v>1</v>
      </c>
      <c r="F141" s="7" t="n">
        <f aca="false">INDEX(Products!$D$2:$D$11,MATCH(D141,Products!$A$2:$A$11,0))</f>
        <v>28000</v>
      </c>
      <c r="G141" s="8" t="n">
        <v>0</v>
      </c>
      <c r="H141" s="9" t="n">
        <f aca="false">E141*F141*(1-G141)</f>
        <v>28000</v>
      </c>
      <c r="I141" s="2" t="s">
        <v>227</v>
      </c>
      <c r="J141" s="2" t="s">
        <v>228</v>
      </c>
    </row>
    <row r="142" customFormat="false" ht="15" hidden="false" customHeight="false" outlineLevel="0" collapsed="false">
      <c r="A142" s="2" t="s">
        <v>369</v>
      </c>
      <c r="B142" s="6" t="n">
        <v>45603</v>
      </c>
      <c r="C142" s="2" t="s">
        <v>136</v>
      </c>
      <c r="D142" s="2" t="s">
        <v>192</v>
      </c>
      <c r="E142" s="2" t="n">
        <v>1</v>
      </c>
      <c r="F142" s="7" t="n">
        <f aca="false">INDEX(Products!$D$2:$D$11,MATCH(D142,Products!$A$2:$A$11,0))</f>
        <v>22000</v>
      </c>
      <c r="G142" s="8" t="n">
        <v>0</v>
      </c>
      <c r="H142" s="9" t="n">
        <f aca="false">E142*F142*(1-G142)</f>
        <v>22000</v>
      </c>
      <c r="I142" s="2" t="s">
        <v>239</v>
      </c>
      <c r="J142" s="2" t="s">
        <v>224</v>
      </c>
    </row>
    <row r="143" customFormat="false" ht="15" hidden="false" customHeight="false" outlineLevel="0" collapsed="false">
      <c r="A143" s="2" t="s">
        <v>370</v>
      </c>
      <c r="B143" s="6" t="n">
        <v>45756</v>
      </c>
      <c r="C143" s="2" t="s">
        <v>110</v>
      </c>
      <c r="D143" s="2" t="s">
        <v>207</v>
      </c>
      <c r="E143" s="2" t="n">
        <v>4</v>
      </c>
      <c r="F143" s="7" t="n">
        <f aca="false">INDEX(Products!$D$2:$D$11,MATCH(D143,Products!$A$2:$A$11,0))</f>
        <v>9500</v>
      </c>
      <c r="G143" s="8" t="n">
        <v>0.15</v>
      </c>
      <c r="H143" s="9" t="n">
        <f aca="false">E143*F143*(1-G143)</f>
        <v>32300</v>
      </c>
      <c r="I143" s="2" t="s">
        <v>230</v>
      </c>
      <c r="J143" s="2" t="s">
        <v>228</v>
      </c>
    </row>
    <row r="144" customFormat="false" ht="15" hidden="false" customHeight="false" outlineLevel="0" collapsed="false">
      <c r="A144" s="2" t="s">
        <v>371</v>
      </c>
      <c r="B144" s="6" t="n">
        <v>45393</v>
      </c>
      <c r="C144" s="2" t="s">
        <v>136</v>
      </c>
      <c r="D144" s="2" t="s">
        <v>210</v>
      </c>
      <c r="E144" s="2" t="n">
        <v>4</v>
      </c>
      <c r="F144" s="7" t="n">
        <f aca="false">INDEX(Products!$D$2:$D$11,MATCH(D144,Products!$A$2:$A$11,0))</f>
        <v>3500</v>
      </c>
      <c r="G144" s="8" t="n">
        <v>0.05</v>
      </c>
      <c r="H144" s="9" t="n">
        <f aca="false">E144*F144*(1-G144)</f>
        <v>13300</v>
      </c>
      <c r="I144" s="2" t="s">
        <v>227</v>
      </c>
      <c r="J144" s="2" t="s">
        <v>224</v>
      </c>
    </row>
    <row r="145" customFormat="false" ht="15" hidden="false" customHeight="false" outlineLevel="0" collapsed="false">
      <c r="A145" s="2" t="s">
        <v>372</v>
      </c>
      <c r="B145" s="6" t="n">
        <v>45514</v>
      </c>
      <c r="C145" s="2" t="s">
        <v>127</v>
      </c>
      <c r="D145" s="2" t="s">
        <v>205</v>
      </c>
      <c r="E145" s="2" t="n">
        <v>2</v>
      </c>
      <c r="F145" s="7" t="n">
        <f aca="false">INDEX(Products!$D$2:$D$11,MATCH(D145,Products!$A$2:$A$11,0))</f>
        <v>3200</v>
      </c>
      <c r="G145" s="8" t="n">
        <v>0.05</v>
      </c>
      <c r="H145" s="9" t="n">
        <f aca="false">E145*F145*(1-G145)</f>
        <v>6080</v>
      </c>
      <c r="I145" s="2" t="s">
        <v>227</v>
      </c>
      <c r="J145" s="2" t="s">
        <v>236</v>
      </c>
    </row>
    <row r="146" customFormat="false" ht="15" hidden="false" customHeight="false" outlineLevel="0" collapsed="false">
      <c r="A146" s="2" t="s">
        <v>373</v>
      </c>
      <c r="B146" s="6" t="n">
        <v>45668</v>
      </c>
      <c r="C146" s="2" t="s">
        <v>144</v>
      </c>
      <c r="D146" s="2" t="s">
        <v>201</v>
      </c>
      <c r="E146" s="2" t="n">
        <v>1</v>
      </c>
      <c r="F146" s="7" t="n">
        <f aca="false">INDEX(Products!$D$2:$D$11,MATCH(D146,Products!$A$2:$A$11,0))</f>
        <v>800</v>
      </c>
      <c r="G146" s="8" t="n">
        <v>0.1</v>
      </c>
      <c r="H146" s="9" t="n">
        <f aca="false">E146*F146*(1-G146)</f>
        <v>720</v>
      </c>
      <c r="I146" s="2" t="s">
        <v>232</v>
      </c>
      <c r="J146" s="2" t="s">
        <v>224</v>
      </c>
    </row>
    <row r="147" customFormat="false" ht="15" hidden="false" customHeight="false" outlineLevel="0" collapsed="false">
      <c r="A147" s="2" t="s">
        <v>374</v>
      </c>
      <c r="B147" s="6" t="n">
        <v>45417</v>
      </c>
      <c r="C147" s="2" t="s">
        <v>130</v>
      </c>
      <c r="D147" s="2" t="s">
        <v>192</v>
      </c>
      <c r="E147" s="2" t="n">
        <v>2</v>
      </c>
      <c r="F147" s="7" t="n">
        <f aca="false">INDEX(Products!$D$2:$D$11,MATCH(D147,Products!$A$2:$A$11,0))</f>
        <v>22000</v>
      </c>
      <c r="G147" s="8" t="n">
        <v>0.15</v>
      </c>
      <c r="H147" s="9" t="n">
        <f aca="false">E147*F147*(1-G147)</f>
        <v>37400</v>
      </c>
      <c r="I147" s="2" t="s">
        <v>227</v>
      </c>
      <c r="J147" s="2" t="s">
        <v>224</v>
      </c>
    </row>
    <row r="148" customFormat="false" ht="15" hidden="false" customHeight="false" outlineLevel="0" collapsed="false">
      <c r="A148" s="2" t="s">
        <v>375</v>
      </c>
      <c r="B148" s="6" t="n">
        <v>45633</v>
      </c>
      <c r="C148" s="2" t="s">
        <v>85</v>
      </c>
      <c r="D148" s="2" t="s">
        <v>194</v>
      </c>
      <c r="E148" s="2" t="n">
        <v>5</v>
      </c>
      <c r="F148" s="7" t="n">
        <f aca="false">INDEX(Products!$D$2:$D$11,MATCH(D148,Products!$A$2:$A$11,0))</f>
        <v>2500</v>
      </c>
      <c r="G148" s="8" t="n">
        <v>0</v>
      </c>
      <c r="H148" s="9" t="n">
        <f aca="false">E148*F148*(1-G148)</f>
        <v>12500</v>
      </c>
      <c r="I148" s="2" t="s">
        <v>227</v>
      </c>
      <c r="J148" s="2" t="s">
        <v>222</v>
      </c>
    </row>
    <row r="149" customFormat="false" ht="15" hidden="false" customHeight="false" outlineLevel="0" collapsed="false">
      <c r="A149" s="2" t="s">
        <v>376</v>
      </c>
      <c r="B149" s="6" t="n">
        <v>45859</v>
      </c>
      <c r="C149" s="2" t="s">
        <v>77</v>
      </c>
      <c r="D149" s="2" t="s">
        <v>210</v>
      </c>
      <c r="E149" s="2" t="n">
        <v>2</v>
      </c>
      <c r="F149" s="7" t="n">
        <f aca="false">INDEX(Products!$D$2:$D$11,MATCH(D149,Products!$A$2:$A$11,0))</f>
        <v>3500</v>
      </c>
      <c r="G149" s="8" t="n">
        <v>0</v>
      </c>
      <c r="H149" s="9" t="n">
        <f aca="false">E149*F149*(1-G149)</f>
        <v>7000</v>
      </c>
      <c r="I149" s="2" t="s">
        <v>232</v>
      </c>
      <c r="J149" s="2" t="s">
        <v>222</v>
      </c>
    </row>
    <row r="150" customFormat="false" ht="15" hidden="false" customHeight="false" outlineLevel="0" collapsed="false">
      <c r="A150" s="2" t="s">
        <v>377</v>
      </c>
      <c r="B150" s="6" t="n">
        <v>45294</v>
      </c>
      <c r="C150" s="2" t="s">
        <v>93</v>
      </c>
      <c r="D150" s="2" t="s">
        <v>194</v>
      </c>
      <c r="E150" s="2" t="n">
        <v>2</v>
      </c>
      <c r="F150" s="7" t="n">
        <f aca="false">INDEX(Products!$D$2:$D$11,MATCH(D150,Products!$A$2:$A$11,0))</f>
        <v>2500</v>
      </c>
      <c r="G150" s="8" t="n">
        <v>0.15</v>
      </c>
      <c r="H150" s="9" t="n">
        <f aca="false">E150*F150*(1-G150)</f>
        <v>4250</v>
      </c>
      <c r="I150" s="2" t="s">
        <v>232</v>
      </c>
      <c r="J150" s="2" t="s">
        <v>222</v>
      </c>
    </row>
    <row r="151" customFormat="false" ht="15" hidden="false" customHeight="false" outlineLevel="0" collapsed="false">
      <c r="A151" s="2" t="s">
        <v>378</v>
      </c>
      <c r="B151" s="6" t="n">
        <v>45404</v>
      </c>
      <c r="C151" s="2" t="s">
        <v>165</v>
      </c>
      <c r="D151" s="2" t="s">
        <v>189</v>
      </c>
      <c r="E151" s="2" t="n">
        <v>2</v>
      </c>
      <c r="F151" s="7" t="n">
        <f aca="false">INDEX(Products!$D$2:$D$11,MATCH(D151,Products!$A$2:$A$11,0))</f>
        <v>55000</v>
      </c>
      <c r="G151" s="8" t="n">
        <v>0</v>
      </c>
      <c r="H151" s="9" t="n">
        <f aca="false">E151*F151*(1-G151)</f>
        <v>110000</v>
      </c>
      <c r="I151" s="2" t="s">
        <v>232</v>
      </c>
      <c r="J151" s="2" t="s">
        <v>222</v>
      </c>
    </row>
    <row r="152" customFormat="false" ht="15" hidden="false" customHeight="false" outlineLevel="0" collapsed="false">
      <c r="A152" s="2" t="s">
        <v>379</v>
      </c>
      <c r="B152" s="6" t="n">
        <v>45535</v>
      </c>
      <c r="C152" s="2" t="s">
        <v>153</v>
      </c>
      <c r="D152" s="2" t="s">
        <v>201</v>
      </c>
      <c r="E152" s="2" t="n">
        <v>1</v>
      </c>
      <c r="F152" s="7" t="n">
        <f aca="false">INDEX(Products!$D$2:$D$11,MATCH(D152,Products!$A$2:$A$11,0))</f>
        <v>800</v>
      </c>
      <c r="G152" s="8" t="n">
        <v>0</v>
      </c>
      <c r="H152" s="9" t="n">
        <f aca="false">E152*F152*(1-G152)</f>
        <v>800</v>
      </c>
      <c r="I152" s="2" t="s">
        <v>232</v>
      </c>
      <c r="J152" s="2" t="s">
        <v>224</v>
      </c>
    </row>
    <row r="153" customFormat="false" ht="15" hidden="false" customHeight="false" outlineLevel="0" collapsed="false">
      <c r="A153" s="2" t="s">
        <v>380</v>
      </c>
      <c r="B153" s="6" t="n">
        <v>45723</v>
      </c>
      <c r="C153" s="2" t="s">
        <v>141</v>
      </c>
      <c r="D153" s="2" t="s">
        <v>192</v>
      </c>
      <c r="E153" s="2" t="n">
        <v>1</v>
      </c>
      <c r="F153" s="7" t="n">
        <f aca="false">INDEX(Products!$D$2:$D$11,MATCH(D153,Products!$A$2:$A$11,0))</f>
        <v>22000</v>
      </c>
      <c r="G153" s="8" t="n">
        <v>0.1</v>
      </c>
      <c r="H153" s="9" t="n">
        <f aca="false">E153*F153*(1-G153)</f>
        <v>19800</v>
      </c>
      <c r="I153" s="2" t="s">
        <v>221</v>
      </c>
      <c r="J153" s="2" t="s">
        <v>222</v>
      </c>
    </row>
    <row r="154" customFormat="false" ht="15" hidden="false" customHeight="false" outlineLevel="0" collapsed="false">
      <c r="A154" s="2" t="s">
        <v>381</v>
      </c>
      <c r="B154" s="6" t="n">
        <v>45817</v>
      </c>
      <c r="C154" s="2" t="s">
        <v>153</v>
      </c>
      <c r="D154" s="2" t="s">
        <v>192</v>
      </c>
      <c r="E154" s="2" t="n">
        <v>4</v>
      </c>
      <c r="F154" s="7" t="n">
        <f aca="false">INDEX(Products!$D$2:$D$11,MATCH(D154,Products!$A$2:$A$11,0))</f>
        <v>22000</v>
      </c>
      <c r="G154" s="8" t="n">
        <v>0.15</v>
      </c>
      <c r="H154" s="9" t="n">
        <f aca="false">E154*F154*(1-G154)</f>
        <v>74800</v>
      </c>
      <c r="I154" s="2" t="s">
        <v>230</v>
      </c>
      <c r="J154" s="2" t="s">
        <v>228</v>
      </c>
    </row>
    <row r="155" customFormat="false" ht="15" hidden="false" customHeight="false" outlineLevel="0" collapsed="false">
      <c r="A155" s="2" t="s">
        <v>382</v>
      </c>
      <c r="B155" s="6" t="n">
        <v>45336</v>
      </c>
      <c r="C155" s="2" t="s">
        <v>175</v>
      </c>
      <c r="D155" s="2" t="s">
        <v>207</v>
      </c>
      <c r="E155" s="2" t="n">
        <v>3</v>
      </c>
      <c r="F155" s="7" t="n">
        <f aca="false">INDEX(Products!$D$2:$D$11,MATCH(D155,Products!$A$2:$A$11,0))</f>
        <v>9500</v>
      </c>
      <c r="G155" s="8" t="n">
        <v>0.1</v>
      </c>
      <c r="H155" s="9" t="n">
        <f aca="false">E155*F155*(1-G155)</f>
        <v>25650</v>
      </c>
      <c r="I155" s="2" t="s">
        <v>227</v>
      </c>
      <c r="J155" s="2" t="s">
        <v>224</v>
      </c>
    </row>
    <row r="156" customFormat="false" ht="15" hidden="false" customHeight="false" outlineLevel="0" collapsed="false">
      <c r="A156" s="2" t="s">
        <v>383</v>
      </c>
      <c r="B156" s="6" t="n">
        <v>45782</v>
      </c>
      <c r="C156" s="2" t="s">
        <v>118</v>
      </c>
      <c r="D156" s="2" t="s">
        <v>203</v>
      </c>
      <c r="E156" s="2" t="n">
        <v>1</v>
      </c>
      <c r="F156" s="7" t="n">
        <f aca="false">INDEX(Products!$D$2:$D$11,MATCH(D156,Products!$A$2:$A$11,0))</f>
        <v>28000</v>
      </c>
      <c r="G156" s="8" t="n">
        <v>0.1</v>
      </c>
      <c r="H156" s="9" t="n">
        <f aca="false">E156*F156*(1-G156)</f>
        <v>25200</v>
      </c>
      <c r="I156" s="2" t="s">
        <v>221</v>
      </c>
      <c r="J156" s="2" t="s">
        <v>224</v>
      </c>
    </row>
    <row r="157" customFormat="false" ht="15" hidden="false" customHeight="false" outlineLevel="0" collapsed="false">
      <c r="A157" s="2" t="s">
        <v>384</v>
      </c>
      <c r="B157" s="6" t="n">
        <v>45374</v>
      </c>
      <c r="C157" s="2" t="s">
        <v>101</v>
      </c>
      <c r="D157" s="2" t="s">
        <v>210</v>
      </c>
      <c r="E157" s="2" t="n">
        <v>2</v>
      </c>
      <c r="F157" s="7" t="n">
        <f aca="false">INDEX(Products!$D$2:$D$11,MATCH(D157,Products!$A$2:$A$11,0))</f>
        <v>3500</v>
      </c>
      <c r="G157" s="8" t="n">
        <v>0</v>
      </c>
      <c r="H157" s="9" t="n">
        <f aca="false">E157*F157*(1-G157)</f>
        <v>7000</v>
      </c>
      <c r="I157" s="2" t="s">
        <v>230</v>
      </c>
      <c r="J157" s="2" t="s">
        <v>224</v>
      </c>
    </row>
    <row r="158" customFormat="false" ht="15" hidden="false" customHeight="false" outlineLevel="0" collapsed="false">
      <c r="A158" s="2" t="s">
        <v>385</v>
      </c>
      <c r="B158" s="6" t="n">
        <v>45891</v>
      </c>
      <c r="C158" s="2" t="s">
        <v>147</v>
      </c>
      <c r="D158" s="2" t="s">
        <v>201</v>
      </c>
      <c r="E158" s="2" t="n">
        <v>4</v>
      </c>
      <c r="F158" s="7" t="n">
        <f aca="false">INDEX(Products!$D$2:$D$11,MATCH(D158,Products!$A$2:$A$11,0))</f>
        <v>800</v>
      </c>
      <c r="G158" s="8" t="n">
        <v>0.15</v>
      </c>
      <c r="H158" s="9" t="n">
        <f aca="false">E158*F158*(1-G158)</f>
        <v>2720</v>
      </c>
      <c r="I158" s="2" t="s">
        <v>239</v>
      </c>
      <c r="J158" s="2" t="s">
        <v>224</v>
      </c>
    </row>
    <row r="159" customFormat="false" ht="15" hidden="false" customHeight="false" outlineLevel="0" collapsed="false">
      <c r="A159" s="2" t="s">
        <v>386</v>
      </c>
      <c r="B159" s="6" t="n">
        <v>45809</v>
      </c>
      <c r="C159" s="2" t="s">
        <v>155</v>
      </c>
      <c r="D159" s="2" t="s">
        <v>203</v>
      </c>
      <c r="E159" s="2" t="n">
        <v>1</v>
      </c>
      <c r="F159" s="7" t="n">
        <f aca="false">INDEX(Products!$D$2:$D$11,MATCH(D159,Products!$A$2:$A$11,0))</f>
        <v>28000</v>
      </c>
      <c r="G159" s="8" t="n">
        <v>0</v>
      </c>
      <c r="H159" s="9" t="n">
        <f aca="false">E159*F159*(1-G159)</f>
        <v>28000</v>
      </c>
      <c r="I159" s="2" t="s">
        <v>239</v>
      </c>
      <c r="J159" s="2" t="s">
        <v>222</v>
      </c>
    </row>
    <row r="160" customFormat="false" ht="15" hidden="false" customHeight="false" outlineLevel="0" collapsed="false">
      <c r="A160" s="2" t="s">
        <v>387</v>
      </c>
      <c r="B160" s="6" t="n">
        <v>45512</v>
      </c>
      <c r="C160" s="2" t="s">
        <v>124</v>
      </c>
      <c r="D160" s="2" t="s">
        <v>205</v>
      </c>
      <c r="E160" s="2" t="n">
        <v>2</v>
      </c>
      <c r="F160" s="7" t="n">
        <f aca="false">INDEX(Products!$D$2:$D$11,MATCH(D160,Products!$A$2:$A$11,0))</f>
        <v>3200</v>
      </c>
      <c r="G160" s="8" t="n">
        <v>0.1</v>
      </c>
      <c r="H160" s="9" t="n">
        <f aca="false">E160*F160*(1-G160)</f>
        <v>5760</v>
      </c>
      <c r="I160" s="2" t="s">
        <v>232</v>
      </c>
      <c r="J160" s="2" t="s">
        <v>222</v>
      </c>
    </row>
    <row r="161" customFormat="false" ht="15" hidden="false" customHeight="false" outlineLevel="0" collapsed="false">
      <c r="A161" s="2" t="s">
        <v>388</v>
      </c>
      <c r="B161" s="6" t="n">
        <v>45700</v>
      </c>
      <c r="C161" s="2" t="s">
        <v>121</v>
      </c>
      <c r="D161" s="2" t="s">
        <v>192</v>
      </c>
      <c r="E161" s="2" t="n">
        <v>3</v>
      </c>
      <c r="F161" s="7" t="n">
        <f aca="false">INDEX(Products!$D$2:$D$11,MATCH(D161,Products!$A$2:$A$11,0))</f>
        <v>22000</v>
      </c>
      <c r="G161" s="8" t="n">
        <v>0.1</v>
      </c>
      <c r="H161" s="9" t="n">
        <f aca="false">E161*F161*(1-G161)</f>
        <v>59400</v>
      </c>
      <c r="I161" s="2" t="s">
        <v>232</v>
      </c>
      <c r="J161" s="2" t="s">
        <v>224</v>
      </c>
    </row>
    <row r="162" customFormat="false" ht="15" hidden="false" customHeight="false" outlineLevel="0" collapsed="false">
      <c r="A162" s="2" t="s">
        <v>389</v>
      </c>
      <c r="B162" s="6" t="n">
        <v>45675</v>
      </c>
      <c r="C162" s="2" t="s">
        <v>65</v>
      </c>
      <c r="D162" s="2" t="s">
        <v>205</v>
      </c>
      <c r="E162" s="2" t="n">
        <v>1</v>
      </c>
      <c r="F162" s="7" t="n">
        <f aca="false">INDEX(Products!$D$2:$D$11,MATCH(D162,Products!$A$2:$A$11,0))</f>
        <v>3200</v>
      </c>
      <c r="G162" s="8" t="n">
        <v>0</v>
      </c>
      <c r="H162" s="9" t="n">
        <f aca="false">E162*F162*(1-G162)</f>
        <v>3200</v>
      </c>
      <c r="I162" s="2" t="s">
        <v>227</v>
      </c>
      <c r="J162" s="2" t="s">
        <v>224</v>
      </c>
    </row>
    <row r="163" customFormat="false" ht="15" hidden="false" customHeight="false" outlineLevel="0" collapsed="false">
      <c r="A163" s="2" t="s">
        <v>390</v>
      </c>
      <c r="B163" s="6" t="n">
        <v>45390</v>
      </c>
      <c r="C163" s="2" t="s">
        <v>177</v>
      </c>
      <c r="D163" s="2" t="s">
        <v>201</v>
      </c>
      <c r="E163" s="2" t="n">
        <v>2</v>
      </c>
      <c r="F163" s="7" t="n">
        <f aca="false">INDEX(Products!$D$2:$D$11,MATCH(D163,Products!$A$2:$A$11,0))</f>
        <v>800</v>
      </c>
      <c r="G163" s="8" t="n">
        <v>0.15</v>
      </c>
      <c r="H163" s="9" t="n">
        <f aca="false">E163*F163*(1-G163)</f>
        <v>1360</v>
      </c>
      <c r="I163" s="2" t="s">
        <v>227</v>
      </c>
      <c r="J163" s="2" t="s">
        <v>224</v>
      </c>
    </row>
    <row r="164" customFormat="false" ht="15" hidden="false" customHeight="false" outlineLevel="0" collapsed="false">
      <c r="A164" s="2" t="s">
        <v>391</v>
      </c>
      <c r="B164" s="6" t="n">
        <v>45867</v>
      </c>
      <c r="C164" s="2" t="s">
        <v>147</v>
      </c>
      <c r="D164" s="2" t="s">
        <v>201</v>
      </c>
      <c r="E164" s="2" t="n">
        <v>1</v>
      </c>
      <c r="F164" s="7" t="n">
        <f aca="false">INDEX(Products!$D$2:$D$11,MATCH(D164,Products!$A$2:$A$11,0))</f>
        <v>800</v>
      </c>
      <c r="G164" s="8" t="n">
        <v>0.1</v>
      </c>
      <c r="H164" s="9" t="n">
        <f aca="false">E164*F164*(1-G164)</f>
        <v>720</v>
      </c>
      <c r="I164" s="2" t="s">
        <v>232</v>
      </c>
      <c r="J164" s="2" t="s">
        <v>228</v>
      </c>
    </row>
    <row r="165" customFormat="false" ht="15" hidden="false" customHeight="false" outlineLevel="0" collapsed="false">
      <c r="A165" s="2" t="s">
        <v>392</v>
      </c>
      <c r="B165" s="6" t="n">
        <v>45725</v>
      </c>
      <c r="C165" s="2" t="s">
        <v>175</v>
      </c>
      <c r="D165" s="2" t="s">
        <v>189</v>
      </c>
      <c r="E165" s="2" t="n">
        <v>3</v>
      </c>
      <c r="F165" s="7" t="n">
        <f aca="false">INDEX(Products!$D$2:$D$11,MATCH(D165,Products!$A$2:$A$11,0))</f>
        <v>55000</v>
      </c>
      <c r="G165" s="8" t="n">
        <v>0.15</v>
      </c>
      <c r="H165" s="9" t="n">
        <f aca="false">E165*F165*(1-G165)</f>
        <v>140250</v>
      </c>
      <c r="I165" s="2" t="s">
        <v>232</v>
      </c>
      <c r="J165" s="2" t="s">
        <v>224</v>
      </c>
    </row>
    <row r="166" customFormat="false" ht="15" hidden="false" customHeight="false" outlineLevel="0" collapsed="false">
      <c r="A166" s="2" t="s">
        <v>393</v>
      </c>
      <c r="B166" s="6" t="n">
        <v>45883</v>
      </c>
      <c r="C166" s="2" t="s">
        <v>139</v>
      </c>
      <c r="D166" s="2" t="s">
        <v>197</v>
      </c>
      <c r="E166" s="2" t="n">
        <v>2</v>
      </c>
      <c r="F166" s="7" t="n">
        <f aca="false">INDEX(Products!$D$2:$D$11,MATCH(D166,Products!$A$2:$A$11,0))</f>
        <v>12000</v>
      </c>
      <c r="G166" s="8" t="n">
        <v>0.1</v>
      </c>
      <c r="H166" s="9" t="n">
        <f aca="false">E166*F166*(1-G166)</f>
        <v>21600</v>
      </c>
      <c r="I166" s="2" t="s">
        <v>230</v>
      </c>
      <c r="J166" s="2" t="s">
        <v>222</v>
      </c>
    </row>
    <row r="167" customFormat="false" ht="15" hidden="false" customHeight="false" outlineLevel="0" collapsed="false">
      <c r="A167" s="2" t="s">
        <v>394</v>
      </c>
      <c r="B167" s="6" t="n">
        <v>45650</v>
      </c>
      <c r="C167" s="2" t="s">
        <v>147</v>
      </c>
      <c r="D167" s="2" t="s">
        <v>201</v>
      </c>
      <c r="E167" s="2" t="n">
        <v>1</v>
      </c>
      <c r="F167" s="7" t="n">
        <f aca="false">INDEX(Products!$D$2:$D$11,MATCH(D167,Products!$A$2:$A$11,0))</f>
        <v>800</v>
      </c>
      <c r="G167" s="8" t="n">
        <v>0.05</v>
      </c>
      <c r="H167" s="9" t="n">
        <f aca="false">E167*F167*(1-G167)</f>
        <v>760</v>
      </c>
      <c r="I167" s="2" t="s">
        <v>239</v>
      </c>
      <c r="J167" s="2" t="s">
        <v>224</v>
      </c>
    </row>
    <row r="168" customFormat="false" ht="15" hidden="false" customHeight="false" outlineLevel="0" collapsed="false">
      <c r="A168" s="2" t="s">
        <v>395</v>
      </c>
      <c r="B168" s="6" t="n">
        <v>45731</v>
      </c>
      <c r="C168" s="2" t="s">
        <v>147</v>
      </c>
      <c r="D168" s="2" t="s">
        <v>210</v>
      </c>
      <c r="E168" s="2" t="n">
        <v>5</v>
      </c>
      <c r="F168" s="7" t="n">
        <f aca="false">INDEX(Products!$D$2:$D$11,MATCH(D168,Products!$A$2:$A$11,0))</f>
        <v>3500</v>
      </c>
      <c r="G168" s="8" t="n">
        <v>0.15</v>
      </c>
      <c r="H168" s="9" t="n">
        <f aca="false">E168*F168*(1-G168)</f>
        <v>14875</v>
      </c>
      <c r="I168" s="2" t="s">
        <v>227</v>
      </c>
      <c r="J168" s="2" t="s">
        <v>224</v>
      </c>
    </row>
    <row r="169" customFormat="false" ht="15" hidden="false" customHeight="false" outlineLevel="0" collapsed="false">
      <c r="A169" s="2" t="s">
        <v>396</v>
      </c>
      <c r="B169" s="6" t="n">
        <v>45565</v>
      </c>
      <c r="C169" s="2" t="s">
        <v>32</v>
      </c>
      <c r="D169" s="2" t="s">
        <v>194</v>
      </c>
      <c r="E169" s="2" t="n">
        <v>3</v>
      </c>
      <c r="F169" s="7" t="n">
        <f aca="false">INDEX(Products!$D$2:$D$11,MATCH(D169,Products!$A$2:$A$11,0))</f>
        <v>2500</v>
      </c>
      <c r="G169" s="8" t="n">
        <v>0.05</v>
      </c>
      <c r="H169" s="9" t="n">
        <f aca="false">E169*F169*(1-G169)</f>
        <v>7125</v>
      </c>
      <c r="I169" s="2" t="s">
        <v>232</v>
      </c>
      <c r="J169" s="2" t="s">
        <v>224</v>
      </c>
    </row>
    <row r="170" customFormat="false" ht="15" hidden="false" customHeight="false" outlineLevel="0" collapsed="false">
      <c r="A170" s="2" t="s">
        <v>397</v>
      </c>
      <c r="B170" s="6" t="n">
        <v>45477</v>
      </c>
      <c r="C170" s="2" t="s">
        <v>65</v>
      </c>
      <c r="D170" s="2" t="s">
        <v>210</v>
      </c>
      <c r="E170" s="2" t="n">
        <v>4</v>
      </c>
      <c r="F170" s="7" t="n">
        <f aca="false">INDEX(Products!$D$2:$D$11,MATCH(D170,Products!$A$2:$A$11,0))</f>
        <v>3500</v>
      </c>
      <c r="G170" s="8" t="n">
        <v>0</v>
      </c>
      <c r="H170" s="9" t="n">
        <f aca="false">E170*F170*(1-G170)</f>
        <v>14000</v>
      </c>
      <c r="I170" s="2" t="s">
        <v>230</v>
      </c>
      <c r="J170" s="2" t="s">
        <v>222</v>
      </c>
    </row>
    <row r="171" customFormat="false" ht="15" hidden="false" customHeight="false" outlineLevel="0" collapsed="false">
      <c r="A171" s="2" t="s">
        <v>398</v>
      </c>
      <c r="B171" s="6" t="n">
        <v>45323</v>
      </c>
      <c r="C171" s="2" t="s">
        <v>49</v>
      </c>
      <c r="D171" s="2" t="s">
        <v>207</v>
      </c>
      <c r="E171" s="2" t="n">
        <v>2</v>
      </c>
      <c r="F171" s="7" t="n">
        <f aca="false">INDEX(Products!$D$2:$D$11,MATCH(D171,Products!$A$2:$A$11,0))</f>
        <v>9500</v>
      </c>
      <c r="G171" s="8" t="n">
        <v>0.1</v>
      </c>
      <c r="H171" s="9" t="n">
        <f aca="false">E171*F171*(1-G171)</f>
        <v>17100</v>
      </c>
      <c r="I171" s="2" t="s">
        <v>221</v>
      </c>
      <c r="J171" s="2" t="s">
        <v>224</v>
      </c>
    </row>
    <row r="172" customFormat="false" ht="15" hidden="false" customHeight="false" outlineLevel="0" collapsed="false">
      <c r="A172" s="2" t="s">
        <v>399</v>
      </c>
      <c r="B172" s="6" t="n">
        <v>45453</v>
      </c>
      <c r="C172" s="2" t="s">
        <v>110</v>
      </c>
      <c r="D172" s="2" t="s">
        <v>199</v>
      </c>
      <c r="E172" s="2" t="n">
        <v>3</v>
      </c>
      <c r="F172" s="7" t="n">
        <f aca="false">INDEX(Products!$D$2:$D$11,MATCH(D172,Products!$A$2:$A$11,0))</f>
        <v>1500</v>
      </c>
      <c r="G172" s="8" t="n">
        <v>0.15</v>
      </c>
      <c r="H172" s="9" t="n">
        <f aca="false">E172*F172*(1-G172)</f>
        <v>3825</v>
      </c>
      <c r="I172" s="2" t="s">
        <v>239</v>
      </c>
      <c r="J172" s="2" t="s">
        <v>224</v>
      </c>
    </row>
    <row r="173" customFormat="false" ht="15" hidden="false" customHeight="false" outlineLevel="0" collapsed="false">
      <c r="A173" s="2" t="s">
        <v>400</v>
      </c>
      <c r="B173" s="6" t="n">
        <v>45345</v>
      </c>
      <c r="C173" s="2" t="s">
        <v>65</v>
      </c>
      <c r="D173" s="2" t="s">
        <v>194</v>
      </c>
      <c r="E173" s="2" t="n">
        <v>5</v>
      </c>
      <c r="F173" s="7" t="n">
        <f aca="false">INDEX(Products!$D$2:$D$11,MATCH(D173,Products!$A$2:$A$11,0))</f>
        <v>2500</v>
      </c>
      <c r="G173" s="8" t="n">
        <v>0</v>
      </c>
      <c r="H173" s="9" t="n">
        <f aca="false">E173*F173*(1-G173)</f>
        <v>12500</v>
      </c>
      <c r="I173" s="2" t="s">
        <v>227</v>
      </c>
      <c r="J173" s="2" t="s">
        <v>224</v>
      </c>
    </row>
    <row r="174" customFormat="false" ht="15" hidden="false" customHeight="false" outlineLevel="0" collapsed="false">
      <c r="A174" s="2" t="s">
        <v>401</v>
      </c>
      <c r="B174" s="6" t="n">
        <v>45726</v>
      </c>
      <c r="C174" s="2" t="s">
        <v>136</v>
      </c>
      <c r="D174" s="2" t="s">
        <v>210</v>
      </c>
      <c r="E174" s="2" t="n">
        <v>4</v>
      </c>
      <c r="F174" s="7" t="n">
        <f aca="false">INDEX(Products!$D$2:$D$11,MATCH(D174,Products!$A$2:$A$11,0))</f>
        <v>3500</v>
      </c>
      <c r="G174" s="8" t="n">
        <v>0.1</v>
      </c>
      <c r="H174" s="9" t="n">
        <f aca="false">E174*F174*(1-G174)</f>
        <v>12600</v>
      </c>
      <c r="I174" s="2" t="s">
        <v>232</v>
      </c>
      <c r="J174" s="2" t="s">
        <v>224</v>
      </c>
    </row>
    <row r="175" customFormat="false" ht="15" hidden="false" customHeight="false" outlineLevel="0" collapsed="false">
      <c r="A175" s="2" t="s">
        <v>402</v>
      </c>
      <c r="B175" s="6" t="n">
        <v>45816</v>
      </c>
      <c r="C175" s="2" t="s">
        <v>57</v>
      </c>
      <c r="D175" s="2" t="s">
        <v>201</v>
      </c>
      <c r="E175" s="2" t="n">
        <v>4</v>
      </c>
      <c r="F175" s="7" t="n">
        <f aca="false">INDEX(Products!$D$2:$D$11,MATCH(D175,Products!$A$2:$A$11,0))</f>
        <v>800</v>
      </c>
      <c r="G175" s="8" t="n">
        <v>0</v>
      </c>
      <c r="H175" s="9" t="n">
        <f aca="false">E175*F175*(1-G175)</f>
        <v>3200</v>
      </c>
      <c r="I175" s="2" t="s">
        <v>232</v>
      </c>
      <c r="J175" s="2" t="s">
        <v>224</v>
      </c>
    </row>
    <row r="176" customFormat="false" ht="15" hidden="false" customHeight="false" outlineLevel="0" collapsed="false">
      <c r="A176" s="2" t="s">
        <v>403</v>
      </c>
      <c r="B176" s="6" t="n">
        <v>45790</v>
      </c>
      <c r="C176" s="2" t="s">
        <v>141</v>
      </c>
      <c r="D176" s="2" t="s">
        <v>199</v>
      </c>
      <c r="E176" s="2" t="n">
        <v>1</v>
      </c>
      <c r="F176" s="7" t="n">
        <f aca="false">INDEX(Products!$D$2:$D$11,MATCH(D176,Products!$A$2:$A$11,0))</f>
        <v>1500</v>
      </c>
      <c r="G176" s="8" t="n">
        <v>0</v>
      </c>
      <c r="H176" s="9" t="n">
        <f aca="false">E176*F176*(1-G176)</f>
        <v>1500</v>
      </c>
      <c r="I176" s="2" t="s">
        <v>221</v>
      </c>
      <c r="J176" s="2" t="s">
        <v>236</v>
      </c>
    </row>
    <row r="177" customFormat="false" ht="15" hidden="false" customHeight="false" outlineLevel="0" collapsed="false">
      <c r="A177" s="2" t="s">
        <v>404</v>
      </c>
      <c r="B177" s="6" t="n">
        <v>45348</v>
      </c>
      <c r="C177" s="2" t="s">
        <v>27</v>
      </c>
      <c r="D177" s="2" t="s">
        <v>197</v>
      </c>
      <c r="E177" s="2" t="n">
        <v>3</v>
      </c>
      <c r="F177" s="7" t="n">
        <f aca="false">INDEX(Products!$D$2:$D$11,MATCH(D177,Products!$A$2:$A$11,0))</f>
        <v>12000</v>
      </c>
      <c r="G177" s="8" t="n">
        <v>0</v>
      </c>
      <c r="H177" s="9" t="n">
        <f aca="false">E177*F177*(1-G177)</f>
        <v>36000</v>
      </c>
      <c r="I177" s="2" t="s">
        <v>230</v>
      </c>
      <c r="J177" s="2" t="s">
        <v>222</v>
      </c>
    </row>
    <row r="178" customFormat="false" ht="15" hidden="false" customHeight="false" outlineLevel="0" collapsed="false">
      <c r="A178" s="2" t="s">
        <v>405</v>
      </c>
      <c r="B178" s="6" t="n">
        <v>45588</v>
      </c>
      <c r="C178" s="2" t="s">
        <v>101</v>
      </c>
      <c r="D178" s="2" t="s">
        <v>192</v>
      </c>
      <c r="E178" s="2" t="n">
        <v>1</v>
      </c>
      <c r="F178" s="7" t="n">
        <f aca="false">INDEX(Products!$D$2:$D$11,MATCH(D178,Products!$A$2:$A$11,0))</f>
        <v>22000</v>
      </c>
      <c r="G178" s="8" t="n">
        <v>0.1</v>
      </c>
      <c r="H178" s="9" t="n">
        <f aca="false">E178*F178*(1-G178)</f>
        <v>19800</v>
      </c>
      <c r="I178" s="2" t="s">
        <v>221</v>
      </c>
      <c r="J178" s="2" t="s">
        <v>224</v>
      </c>
    </row>
    <row r="179" customFormat="false" ht="15" hidden="false" customHeight="false" outlineLevel="0" collapsed="false">
      <c r="A179" s="2" t="s">
        <v>406</v>
      </c>
      <c r="B179" s="6" t="n">
        <v>45681</v>
      </c>
      <c r="C179" s="2" t="s">
        <v>144</v>
      </c>
      <c r="D179" s="2" t="s">
        <v>197</v>
      </c>
      <c r="E179" s="2" t="n">
        <v>5</v>
      </c>
      <c r="F179" s="7" t="n">
        <f aca="false">INDEX(Products!$D$2:$D$11,MATCH(D179,Products!$A$2:$A$11,0))</f>
        <v>12000</v>
      </c>
      <c r="G179" s="8" t="n">
        <v>0.15</v>
      </c>
      <c r="H179" s="9" t="n">
        <f aca="false">E179*F179*(1-G179)</f>
        <v>51000</v>
      </c>
      <c r="I179" s="2" t="s">
        <v>232</v>
      </c>
      <c r="J179" s="2" t="s">
        <v>224</v>
      </c>
    </row>
    <row r="180" customFormat="false" ht="15" hidden="false" customHeight="false" outlineLevel="0" collapsed="false">
      <c r="A180" s="2" t="s">
        <v>407</v>
      </c>
      <c r="B180" s="6" t="n">
        <v>45335</v>
      </c>
      <c r="C180" s="2" t="s">
        <v>124</v>
      </c>
      <c r="D180" s="2" t="s">
        <v>189</v>
      </c>
      <c r="E180" s="2" t="n">
        <v>4</v>
      </c>
      <c r="F180" s="7" t="n">
        <f aca="false">INDEX(Products!$D$2:$D$11,MATCH(D180,Products!$A$2:$A$11,0))</f>
        <v>55000</v>
      </c>
      <c r="G180" s="8" t="n">
        <v>0</v>
      </c>
      <c r="H180" s="9" t="n">
        <f aca="false">E180*F180*(1-G180)</f>
        <v>220000</v>
      </c>
      <c r="I180" s="2" t="s">
        <v>232</v>
      </c>
      <c r="J180" s="2" t="s">
        <v>224</v>
      </c>
    </row>
    <row r="181" customFormat="false" ht="15" hidden="false" customHeight="false" outlineLevel="0" collapsed="false">
      <c r="A181" s="2" t="s">
        <v>408</v>
      </c>
      <c r="B181" s="6" t="n">
        <v>45879</v>
      </c>
      <c r="C181" s="2" t="s">
        <v>118</v>
      </c>
      <c r="D181" s="2" t="s">
        <v>203</v>
      </c>
      <c r="E181" s="2" t="n">
        <v>3</v>
      </c>
      <c r="F181" s="7" t="n">
        <f aca="false">INDEX(Products!$D$2:$D$11,MATCH(D181,Products!$A$2:$A$11,0))</f>
        <v>28000</v>
      </c>
      <c r="G181" s="8" t="n">
        <v>0</v>
      </c>
      <c r="H181" s="9" t="n">
        <f aca="false">E181*F181*(1-G181)</f>
        <v>84000</v>
      </c>
      <c r="I181" s="2" t="s">
        <v>221</v>
      </c>
      <c r="J181" s="2" t="s">
        <v>224</v>
      </c>
    </row>
    <row r="182" customFormat="false" ht="15" hidden="false" customHeight="false" outlineLevel="0" collapsed="false">
      <c r="A182" s="2" t="s">
        <v>409</v>
      </c>
      <c r="B182" s="6" t="n">
        <v>45624</v>
      </c>
      <c r="C182" s="2" t="s">
        <v>68</v>
      </c>
      <c r="D182" s="2" t="s">
        <v>210</v>
      </c>
      <c r="E182" s="2" t="n">
        <v>4</v>
      </c>
      <c r="F182" s="7" t="n">
        <f aca="false">INDEX(Products!$D$2:$D$11,MATCH(D182,Products!$A$2:$A$11,0))</f>
        <v>3500</v>
      </c>
      <c r="G182" s="8" t="n">
        <v>0.05</v>
      </c>
      <c r="H182" s="9" t="n">
        <f aca="false">E182*F182*(1-G182)</f>
        <v>13300</v>
      </c>
      <c r="I182" s="2" t="s">
        <v>227</v>
      </c>
      <c r="J182" s="2" t="s">
        <v>224</v>
      </c>
    </row>
    <row r="183" customFormat="false" ht="15" hidden="false" customHeight="false" outlineLevel="0" collapsed="false">
      <c r="A183" s="2" t="s">
        <v>410</v>
      </c>
      <c r="B183" s="6" t="n">
        <v>45400</v>
      </c>
      <c r="C183" s="2" t="s">
        <v>85</v>
      </c>
      <c r="D183" s="2" t="s">
        <v>203</v>
      </c>
      <c r="E183" s="2" t="n">
        <v>5</v>
      </c>
      <c r="F183" s="7" t="n">
        <f aca="false">INDEX(Products!$D$2:$D$11,MATCH(D183,Products!$A$2:$A$11,0))</f>
        <v>28000</v>
      </c>
      <c r="G183" s="8" t="n">
        <v>0.1</v>
      </c>
      <c r="H183" s="9" t="n">
        <f aca="false">E183*F183*(1-G183)</f>
        <v>126000</v>
      </c>
      <c r="I183" s="2" t="s">
        <v>239</v>
      </c>
      <c r="J183" s="2" t="s">
        <v>224</v>
      </c>
    </row>
    <row r="184" customFormat="false" ht="15" hidden="false" customHeight="false" outlineLevel="0" collapsed="false">
      <c r="A184" s="2" t="s">
        <v>411</v>
      </c>
      <c r="B184" s="6" t="n">
        <v>45609</v>
      </c>
      <c r="C184" s="2" t="s">
        <v>177</v>
      </c>
      <c r="D184" s="2" t="s">
        <v>201</v>
      </c>
      <c r="E184" s="2" t="n">
        <v>2</v>
      </c>
      <c r="F184" s="7" t="n">
        <f aca="false">INDEX(Products!$D$2:$D$11,MATCH(D184,Products!$A$2:$A$11,0))</f>
        <v>800</v>
      </c>
      <c r="G184" s="8" t="n">
        <v>0.05</v>
      </c>
      <c r="H184" s="9" t="n">
        <f aca="false">E184*F184*(1-G184)</f>
        <v>1520</v>
      </c>
      <c r="I184" s="2" t="s">
        <v>230</v>
      </c>
      <c r="J184" s="2" t="s">
        <v>224</v>
      </c>
    </row>
    <row r="185" customFormat="false" ht="15" hidden="false" customHeight="false" outlineLevel="0" collapsed="false">
      <c r="A185" s="2" t="s">
        <v>412</v>
      </c>
      <c r="B185" s="6" t="n">
        <v>45408</v>
      </c>
      <c r="C185" s="2" t="s">
        <v>141</v>
      </c>
      <c r="D185" s="2" t="s">
        <v>207</v>
      </c>
      <c r="E185" s="2" t="n">
        <v>2</v>
      </c>
      <c r="F185" s="7" t="n">
        <f aca="false">INDEX(Products!$D$2:$D$11,MATCH(D185,Products!$A$2:$A$11,0))</f>
        <v>9500</v>
      </c>
      <c r="G185" s="8" t="n">
        <v>0.05</v>
      </c>
      <c r="H185" s="9" t="n">
        <f aca="false">E185*F185*(1-G185)</f>
        <v>18050</v>
      </c>
      <c r="I185" s="2" t="s">
        <v>232</v>
      </c>
      <c r="J185" s="2" t="s">
        <v>222</v>
      </c>
    </row>
    <row r="186" customFormat="false" ht="15" hidden="false" customHeight="false" outlineLevel="0" collapsed="false">
      <c r="A186" s="2" t="s">
        <v>413</v>
      </c>
      <c r="B186" s="6" t="n">
        <v>45443</v>
      </c>
      <c r="C186" s="2" t="s">
        <v>85</v>
      </c>
      <c r="D186" s="2" t="s">
        <v>192</v>
      </c>
      <c r="E186" s="2" t="n">
        <v>2</v>
      </c>
      <c r="F186" s="7" t="n">
        <f aca="false">INDEX(Products!$D$2:$D$11,MATCH(D186,Products!$A$2:$A$11,0))</f>
        <v>22000</v>
      </c>
      <c r="G186" s="8" t="n">
        <v>0.05</v>
      </c>
      <c r="H186" s="9" t="n">
        <f aca="false">E186*F186*(1-G186)</f>
        <v>41800</v>
      </c>
      <c r="I186" s="2" t="s">
        <v>230</v>
      </c>
      <c r="J186" s="2" t="s">
        <v>224</v>
      </c>
    </row>
    <row r="187" customFormat="false" ht="15" hidden="false" customHeight="false" outlineLevel="0" collapsed="false">
      <c r="A187" s="2" t="s">
        <v>414</v>
      </c>
      <c r="B187" s="6" t="n">
        <v>45448</v>
      </c>
      <c r="C187" s="2" t="s">
        <v>180</v>
      </c>
      <c r="D187" s="2" t="s">
        <v>192</v>
      </c>
      <c r="E187" s="2" t="n">
        <v>2</v>
      </c>
      <c r="F187" s="7" t="n">
        <f aca="false">INDEX(Products!$D$2:$D$11,MATCH(D187,Products!$A$2:$A$11,0))</f>
        <v>22000</v>
      </c>
      <c r="G187" s="8" t="n">
        <v>0.1</v>
      </c>
      <c r="H187" s="9" t="n">
        <f aca="false">E187*F187*(1-G187)</f>
        <v>39600</v>
      </c>
      <c r="I187" s="2" t="s">
        <v>221</v>
      </c>
      <c r="J187" s="2" t="s">
        <v>222</v>
      </c>
    </row>
    <row r="188" customFormat="false" ht="15" hidden="false" customHeight="false" outlineLevel="0" collapsed="false">
      <c r="A188" s="2" t="s">
        <v>415</v>
      </c>
      <c r="B188" s="6" t="n">
        <v>45885</v>
      </c>
      <c r="C188" s="2" t="s">
        <v>127</v>
      </c>
      <c r="D188" s="2" t="s">
        <v>210</v>
      </c>
      <c r="E188" s="2" t="n">
        <v>5</v>
      </c>
      <c r="F188" s="7" t="n">
        <f aca="false">INDEX(Products!$D$2:$D$11,MATCH(D188,Products!$A$2:$A$11,0))</f>
        <v>3500</v>
      </c>
      <c r="G188" s="8" t="n">
        <v>0.05</v>
      </c>
      <c r="H188" s="9" t="n">
        <f aca="false">E188*F188*(1-G188)</f>
        <v>16625</v>
      </c>
      <c r="I188" s="2" t="s">
        <v>232</v>
      </c>
      <c r="J188" s="2" t="s">
        <v>224</v>
      </c>
    </row>
    <row r="189" customFormat="false" ht="15" hidden="false" customHeight="false" outlineLevel="0" collapsed="false">
      <c r="A189" s="2" t="s">
        <v>416</v>
      </c>
      <c r="B189" s="6" t="n">
        <v>45361</v>
      </c>
      <c r="C189" s="2" t="s">
        <v>133</v>
      </c>
      <c r="D189" s="2" t="s">
        <v>205</v>
      </c>
      <c r="E189" s="2" t="n">
        <v>3</v>
      </c>
      <c r="F189" s="7" t="n">
        <f aca="false">INDEX(Products!$D$2:$D$11,MATCH(D189,Products!$A$2:$A$11,0))</f>
        <v>3200</v>
      </c>
      <c r="G189" s="8" t="n">
        <v>0.05</v>
      </c>
      <c r="H189" s="9" t="n">
        <f aca="false">E189*F189*(1-G189)</f>
        <v>9120</v>
      </c>
      <c r="I189" s="2" t="s">
        <v>239</v>
      </c>
      <c r="J189" s="2" t="s">
        <v>224</v>
      </c>
    </row>
    <row r="190" customFormat="false" ht="15" hidden="false" customHeight="false" outlineLevel="0" collapsed="false">
      <c r="A190" s="2" t="s">
        <v>417</v>
      </c>
      <c r="B190" s="6" t="n">
        <v>45811</v>
      </c>
      <c r="C190" s="2" t="s">
        <v>44</v>
      </c>
      <c r="D190" s="2" t="s">
        <v>199</v>
      </c>
      <c r="E190" s="2" t="n">
        <v>4</v>
      </c>
      <c r="F190" s="7" t="n">
        <f aca="false">INDEX(Products!$D$2:$D$11,MATCH(D190,Products!$A$2:$A$11,0))</f>
        <v>1500</v>
      </c>
      <c r="G190" s="8" t="n">
        <v>0.1</v>
      </c>
      <c r="H190" s="9" t="n">
        <f aca="false">E190*F190*(1-G190)</f>
        <v>5400</v>
      </c>
      <c r="I190" s="2" t="s">
        <v>227</v>
      </c>
      <c r="J190" s="2" t="s">
        <v>224</v>
      </c>
    </row>
    <row r="191" customFormat="false" ht="15" hidden="false" customHeight="false" outlineLevel="0" collapsed="false">
      <c r="A191" s="2" t="s">
        <v>418</v>
      </c>
      <c r="B191" s="6" t="n">
        <v>45585</v>
      </c>
      <c r="C191" s="2" t="s">
        <v>44</v>
      </c>
      <c r="D191" s="2" t="s">
        <v>192</v>
      </c>
      <c r="E191" s="2" t="n">
        <v>5</v>
      </c>
      <c r="F191" s="7" t="n">
        <f aca="false">INDEX(Products!$D$2:$D$11,MATCH(D191,Products!$A$2:$A$11,0))</f>
        <v>22000</v>
      </c>
      <c r="G191" s="8" t="n">
        <v>0.15</v>
      </c>
      <c r="H191" s="9" t="n">
        <f aca="false">E191*F191*(1-G191)</f>
        <v>93500</v>
      </c>
      <c r="I191" s="2" t="s">
        <v>239</v>
      </c>
      <c r="J191" s="2" t="s">
        <v>224</v>
      </c>
    </row>
    <row r="192" customFormat="false" ht="15" hidden="false" customHeight="false" outlineLevel="0" collapsed="false">
      <c r="A192" s="2" t="s">
        <v>419</v>
      </c>
      <c r="B192" s="6" t="n">
        <v>45886</v>
      </c>
      <c r="C192" s="2" t="s">
        <v>147</v>
      </c>
      <c r="D192" s="2" t="s">
        <v>189</v>
      </c>
      <c r="E192" s="2" t="n">
        <v>4</v>
      </c>
      <c r="F192" s="7" t="n">
        <f aca="false">INDEX(Products!$D$2:$D$11,MATCH(D192,Products!$A$2:$A$11,0))</f>
        <v>55000</v>
      </c>
      <c r="G192" s="8" t="n">
        <v>0.15</v>
      </c>
      <c r="H192" s="9" t="n">
        <f aca="false">E192*F192*(1-G192)</f>
        <v>187000</v>
      </c>
      <c r="I192" s="2" t="s">
        <v>230</v>
      </c>
      <c r="J192" s="2" t="s">
        <v>224</v>
      </c>
    </row>
    <row r="193" customFormat="false" ht="15" hidden="false" customHeight="false" outlineLevel="0" collapsed="false">
      <c r="A193" s="2" t="s">
        <v>420</v>
      </c>
      <c r="B193" s="6" t="n">
        <v>45779</v>
      </c>
      <c r="C193" s="2" t="s">
        <v>139</v>
      </c>
      <c r="D193" s="2" t="s">
        <v>194</v>
      </c>
      <c r="E193" s="2" t="n">
        <v>1</v>
      </c>
      <c r="F193" s="7" t="n">
        <f aca="false">INDEX(Products!$D$2:$D$11,MATCH(D193,Products!$A$2:$A$11,0))</f>
        <v>2500</v>
      </c>
      <c r="G193" s="8" t="n">
        <v>0.1</v>
      </c>
      <c r="H193" s="9" t="n">
        <f aca="false">E193*F193*(1-G193)</f>
        <v>2250</v>
      </c>
      <c r="I193" s="2" t="s">
        <v>227</v>
      </c>
      <c r="J193" s="2" t="s">
        <v>222</v>
      </c>
    </row>
    <row r="194" customFormat="false" ht="15" hidden="false" customHeight="false" outlineLevel="0" collapsed="false">
      <c r="A194" s="2" t="s">
        <v>421</v>
      </c>
      <c r="B194" s="6" t="n">
        <v>45643</v>
      </c>
      <c r="C194" s="2" t="s">
        <v>173</v>
      </c>
      <c r="D194" s="2" t="s">
        <v>192</v>
      </c>
      <c r="E194" s="2" t="n">
        <v>5</v>
      </c>
      <c r="F194" s="7" t="n">
        <f aca="false">INDEX(Products!$D$2:$D$11,MATCH(D194,Products!$A$2:$A$11,0))</f>
        <v>22000</v>
      </c>
      <c r="G194" s="8" t="n">
        <v>0</v>
      </c>
      <c r="H194" s="9" t="n">
        <f aca="false">E194*F194*(1-G194)</f>
        <v>110000</v>
      </c>
      <c r="I194" s="2" t="s">
        <v>227</v>
      </c>
      <c r="J194" s="2" t="s">
        <v>224</v>
      </c>
    </row>
    <row r="195" customFormat="false" ht="15" hidden="false" customHeight="false" outlineLevel="0" collapsed="false">
      <c r="A195" s="2" t="s">
        <v>422</v>
      </c>
      <c r="B195" s="6" t="n">
        <v>45740</v>
      </c>
      <c r="C195" s="2" t="s">
        <v>127</v>
      </c>
      <c r="D195" s="2" t="s">
        <v>207</v>
      </c>
      <c r="E195" s="2" t="n">
        <v>5</v>
      </c>
      <c r="F195" s="7" t="n">
        <f aca="false">INDEX(Products!$D$2:$D$11,MATCH(D195,Products!$A$2:$A$11,0))</f>
        <v>9500</v>
      </c>
      <c r="G195" s="8" t="n">
        <v>0.15</v>
      </c>
      <c r="H195" s="9" t="n">
        <f aca="false">E195*F195*(1-G195)</f>
        <v>40375</v>
      </c>
      <c r="I195" s="2" t="s">
        <v>230</v>
      </c>
      <c r="J195" s="2" t="s">
        <v>224</v>
      </c>
    </row>
    <row r="196" customFormat="false" ht="15" hidden="false" customHeight="false" outlineLevel="0" collapsed="false">
      <c r="A196" s="2" t="s">
        <v>423</v>
      </c>
      <c r="B196" s="6" t="n">
        <v>45581</v>
      </c>
      <c r="C196" s="2" t="s">
        <v>113</v>
      </c>
      <c r="D196" s="2" t="s">
        <v>203</v>
      </c>
      <c r="E196" s="2" t="n">
        <v>3</v>
      </c>
      <c r="F196" s="7" t="n">
        <f aca="false">INDEX(Products!$D$2:$D$11,MATCH(D196,Products!$A$2:$A$11,0))</f>
        <v>28000</v>
      </c>
      <c r="G196" s="8" t="n">
        <v>0.15</v>
      </c>
      <c r="H196" s="9" t="n">
        <f aca="false">E196*F196*(1-G196)</f>
        <v>71400</v>
      </c>
      <c r="I196" s="2" t="s">
        <v>227</v>
      </c>
      <c r="J196" s="2" t="s">
        <v>222</v>
      </c>
    </row>
    <row r="197" customFormat="false" ht="15" hidden="false" customHeight="false" outlineLevel="0" collapsed="false">
      <c r="A197" s="2" t="s">
        <v>424</v>
      </c>
      <c r="B197" s="6" t="n">
        <v>45634</v>
      </c>
      <c r="C197" s="2" t="s">
        <v>44</v>
      </c>
      <c r="D197" s="2" t="s">
        <v>201</v>
      </c>
      <c r="E197" s="2" t="n">
        <v>1</v>
      </c>
      <c r="F197" s="7" t="n">
        <f aca="false">INDEX(Products!$D$2:$D$11,MATCH(D197,Products!$A$2:$A$11,0))</f>
        <v>800</v>
      </c>
      <c r="G197" s="8" t="n">
        <v>0.15</v>
      </c>
      <c r="H197" s="9" t="n">
        <f aca="false">E197*F197*(1-G197)</f>
        <v>680</v>
      </c>
      <c r="I197" s="2" t="s">
        <v>221</v>
      </c>
      <c r="J197" s="2" t="s">
        <v>224</v>
      </c>
    </row>
    <row r="198" customFormat="false" ht="15" hidden="false" customHeight="false" outlineLevel="0" collapsed="false">
      <c r="A198" s="2" t="s">
        <v>425</v>
      </c>
      <c r="B198" s="6" t="n">
        <v>45445</v>
      </c>
      <c r="C198" s="2" t="s">
        <v>104</v>
      </c>
      <c r="D198" s="2" t="s">
        <v>192</v>
      </c>
      <c r="E198" s="2" t="n">
        <v>5</v>
      </c>
      <c r="F198" s="7" t="n">
        <f aca="false">INDEX(Products!$D$2:$D$11,MATCH(D198,Products!$A$2:$A$11,0))</f>
        <v>22000</v>
      </c>
      <c r="G198" s="8" t="n">
        <v>0</v>
      </c>
      <c r="H198" s="9" t="n">
        <f aca="false">E198*F198*(1-G198)</f>
        <v>110000</v>
      </c>
      <c r="I198" s="2" t="s">
        <v>232</v>
      </c>
      <c r="J198" s="2" t="s">
        <v>224</v>
      </c>
    </row>
    <row r="199" customFormat="false" ht="15" hidden="false" customHeight="false" outlineLevel="0" collapsed="false">
      <c r="A199" s="2" t="s">
        <v>426</v>
      </c>
      <c r="B199" s="6" t="n">
        <v>45693</v>
      </c>
      <c r="C199" s="2" t="s">
        <v>61</v>
      </c>
      <c r="D199" s="2" t="s">
        <v>210</v>
      </c>
      <c r="E199" s="2" t="n">
        <v>1</v>
      </c>
      <c r="F199" s="7" t="n">
        <f aca="false">INDEX(Products!$D$2:$D$11,MATCH(D199,Products!$A$2:$A$11,0))</f>
        <v>3500</v>
      </c>
      <c r="G199" s="8" t="n">
        <v>0.05</v>
      </c>
      <c r="H199" s="9" t="n">
        <f aca="false">E199*F199*(1-G199)</f>
        <v>3325</v>
      </c>
      <c r="I199" s="2" t="s">
        <v>239</v>
      </c>
      <c r="J199" s="2" t="s">
        <v>224</v>
      </c>
    </row>
    <row r="200" customFormat="false" ht="15" hidden="false" customHeight="false" outlineLevel="0" collapsed="false">
      <c r="A200" s="2" t="s">
        <v>427</v>
      </c>
      <c r="B200" s="6" t="n">
        <v>45628</v>
      </c>
      <c r="C200" s="2" t="s">
        <v>61</v>
      </c>
      <c r="D200" s="2" t="s">
        <v>207</v>
      </c>
      <c r="E200" s="2" t="n">
        <v>1</v>
      </c>
      <c r="F200" s="7" t="n">
        <f aca="false">INDEX(Products!$D$2:$D$11,MATCH(D200,Products!$A$2:$A$11,0))</f>
        <v>9500</v>
      </c>
      <c r="G200" s="8" t="n">
        <v>0.1</v>
      </c>
      <c r="H200" s="9" t="n">
        <f aca="false">E200*F200*(1-G200)</f>
        <v>8550</v>
      </c>
      <c r="I200" s="2" t="s">
        <v>239</v>
      </c>
      <c r="J200" s="2" t="s">
        <v>224</v>
      </c>
    </row>
    <row r="201" customFormat="false" ht="15" hidden="false" customHeight="false" outlineLevel="0" collapsed="false">
      <c r="A201" s="2" t="s">
        <v>428</v>
      </c>
      <c r="B201" s="6" t="n">
        <v>45663</v>
      </c>
      <c r="C201" s="2" t="s">
        <v>99</v>
      </c>
      <c r="D201" s="2" t="s">
        <v>194</v>
      </c>
      <c r="E201" s="2" t="n">
        <v>2</v>
      </c>
      <c r="F201" s="7" t="n">
        <f aca="false">INDEX(Products!$D$2:$D$11,MATCH(D201,Products!$A$2:$A$11,0))</f>
        <v>2500</v>
      </c>
      <c r="G201" s="8" t="n">
        <v>0.05</v>
      </c>
      <c r="H201" s="9" t="n">
        <f aca="false">E201*F201*(1-G201)</f>
        <v>4750</v>
      </c>
      <c r="I201" s="2" t="s">
        <v>221</v>
      </c>
      <c r="J201" s="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2026-10-05T11:38:01Z</dcterms:created>
  <dc:creator>openpyxl</dc:creator>
  <dc:description/>
  <dc:language>en-US</dc:language>
  <cp:lastModifiedBy/>
  <dcterms:modified xsi:type="dcterms:W3CDTF">2026-10-05T11:38:01Z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